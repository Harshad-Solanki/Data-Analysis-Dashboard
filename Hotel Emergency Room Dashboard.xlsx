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ARSHAD\Documents\projects\Excel\1st project\"/>
    </mc:Choice>
  </mc:AlternateContent>
  <xr:revisionPtr revIDLastSave="0" documentId="13_ncr:1_{4049421B-D7D3-4789-ACEA-F88F77D60E2A}" xr6:coauthVersionLast="47" xr6:coauthVersionMax="47" xr10:uidLastSave="{00000000-0000-0000-0000-000000000000}"/>
  <bookViews>
    <workbookView xWindow="4470" yWindow="3900" windowWidth="21600" windowHeight="11295" firstSheet="1" activeTab="1" xr2:uid="{46AC724C-120E-48BD-AB4B-62DE8D281666}"/>
  </bookViews>
  <sheets>
    <sheet name="Pivot Report" sheetId="1" state="hidden" r:id="rId1"/>
    <sheet name="Dashboard" sheetId="2" r:id="rId2"/>
    <sheet name="Satisfaction Score Daily Trend" sheetId="9" r:id="rId3"/>
    <sheet name="Average Wait Time Daily Trend" sheetId="7" r:id="rId4"/>
    <sheet name="Daily ER Room Patient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abed4ea-00ab-4901-8ac6-516276f12294" name="Hospital Emergency Room Data" connection="Query - Hospital Emergency Room Data"/>
          <x15:modelTable id="Calendar_Table_ec38223a-9fa1-4493-b822-101b00d8823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5" i="1" l="1"/>
  <c r="C45" i="1"/>
  <c r="A45" i="1"/>
  <c r="B46" i="1"/>
  <c r="C46"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497C52-102D-4F2B-859C-502178735E96}" name="Query - Calendar_Table" description="Connection to the 'Calendar_Table' query in the workbook." type="100" refreshedVersion="8" minRefreshableVersion="5">
    <extLst>
      <ext xmlns:x15="http://schemas.microsoft.com/office/spreadsheetml/2010/11/main" uri="{DE250136-89BD-433C-8126-D09CA5730AF9}">
        <x15:connection id="ab086aaf-9637-49d7-844e-43ec8547839d"/>
      </ext>
    </extLst>
  </connection>
  <connection id="2" xr16:uid="{1F52DDA0-83E7-4CE2-9203-BA2D017780C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ad5185c-161f-4816-87bc-acb9005e5c89"/>
      </ext>
    </extLst>
  </connection>
  <connection id="3" xr16:uid="{07A1C4EB-E2DA-426D-BA55-AAC38268926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<sst xmlns="http://schemas.openxmlformats.org/spreadsheetml/2006/main" count="146" uniqueCount="67">
  <si>
    <t>Count of Patient Id</t>
  </si>
  <si>
    <t>Average of Patient Waittime</t>
  </si>
  <si>
    <t>Average of Patient Satisfaction Score</t>
  </si>
  <si>
    <t>Admitted</t>
  </si>
  <si>
    <t>60-69</t>
  </si>
  <si>
    <t>Delay</t>
  </si>
  <si>
    <t>70-79</t>
  </si>
  <si>
    <t>10-19</t>
  </si>
  <si>
    <t>On Time</t>
  </si>
  <si>
    <t>40-49</t>
  </si>
  <si>
    <t>50-59</t>
  </si>
  <si>
    <t>20-29</t>
  </si>
  <si>
    <t>0-09</t>
  </si>
  <si>
    <t>30-39</t>
  </si>
  <si>
    <t>Not Admitted</t>
  </si>
  <si>
    <t>Grand Total</t>
  </si>
  <si>
    <t>Row Labels</t>
  </si>
  <si>
    <t>Count of Patient Admission Flag</t>
  </si>
  <si>
    <t>Count of Patient Admission Flag2</t>
  </si>
  <si>
    <t>Admission Status</t>
  </si>
  <si>
    <t>%Status</t>
  </si>
  <si>
    <t>No. of Patient</t>
  </si>
  <si>
    <t>Count of Age Group</t>
  </si>
  <si>
    <t>Count of Calculated Column 2</t>
  </si>
  <si>
    <t>Male</t>
  </si>
  <si>
    <t>None</t>
  </si>
  <si>
    <t>Female</t>
  </si>
  <si>
    <t>General Practice</t>
  </si>
  <si>
    <t>Orthopedics</t>
  </si>
  <si>
    <t>Physiotherapy</t>
  </si>
  <si>
    <t>Cardiology</t>
  </si>
  <si>
    <t>Neurology</t>
  </si>
  <si>
    <t>Gastroenterology</t>
  </si>
  <si>
    <t>Renal</t>
  </si>
  <si>
    <t>Count of Patient Gender</t>
  </si>
  <si>
    <t>Count of Department Referral</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</si>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</sst>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1"/>
      <name val="Aptos Narrow"/>
      <family val="2"/>
      <scheme val="minor"/>
    </font>
    <font>
      <sz val="12"/>
      <color theme="0"/>
      <name val="Aptos Narrow"/>
      <family val="2"/>
      <scheme val="minor"/>
    </font>
    <font>
      <sz val="12"/>
      <color theme="1"/>
      <name val="Aptos Narrow"/>
      <family val="2"/>
      <scheme val="minor"/>
    </font>
    <font>
      <sz val="10"/>
      <color rgb="FF000000"/>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3" tint="0.49998474074526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4" borderId="0" xfId="0" applyFill="1"/>
    <xf numFmtId="0" fontId="2" fillId="3" borderId="0" xfId="0" applyFont="1" applyFill="1"/>
    <xf numFmtId="0" fontId="2" fillId="3" borderId="0" xfId="0" applyFont="1" applyFill="1" applyAlignment="1">
      <alignment horizontal="center"/>
    </xf>
    <xf numFmtId="0" fontId="3" fillId="4" borderId="0" xfId="0" applyFont="1" applyFill="1" applyAlignment="1">
      <alignment horizontal="center"/>
    </xf>
    <xf numFmtId="9" fontId="3" fillId="4" borderId="0" xfId="1" applyFont="1" applyFill="1" applyAlignment="1">
      <alignment horizontal="center"/>
    </xf>
    <xf numFmtId="0" fontId="4" fillId="0" borderId="0" xfId="0" applyFont="1" applyAlignment="1">
      <alignment horizontal="center" vertical="center"/>
    </xf>
  </cellXfs>
  <cellStyles count="2">
    <cellStyle name="Normal" xfId="0" builtinId="0"/>
    <cellStyle name="Percent" xfId="1" builtinId="5"/>
  </cellStyles>
  <dxfs count="13">
    <dxf>
      <numFmt numFmtId="2" formatCode="0.00"/>
    </dxf>
    <dxf>
      <numFmt numFmtId="1" formatCode="0"/>
    </dxf>
    <dxf>
      <numFmt numFmtId="2" formatCode="0.00"/>
    </dxf>
    <dxf>
      <numFmt numFmtId="1" formatCode="0"/>
    </dxf>
    <dxf>
      <numFmt numFmtId="14" formatCode="0.00%"/>
    </dxf>
    <dxf>
      <numFmt numFmtId="1" formatCode="0"/>
    </dxf>
    <dxf>
      <numFmt numFmtId="2" formatCode="0.00"/>
    </dxf>
    <dxf>
      <numFmt numFmtId="2" formatCode="0.00"/>
    </dxf>
    <dxf>
      <numFmt numFmtId="1" formatCode="0"/>
    </dxf>
    <dxf>
      <numFmt numFmtId="1" formatCode="0"/>
    </dxf>
    <dxf>
      <numFmt numFmtId="1" formatCode="0"/>
    </dxf>
    <dxf>
      <font>
        <b/>
        <color theme="1"/>
      </font>
      <border>
        <bottom style="thin">
          <color theme="5"/>
        </bottom>
        <vertical/>
        <horizontal/>
      </border>
    </dxf>
    <dxf>
      <font>
        <sz val="8"/>
        <color theme="1"/>
      </font>
      <fill>
        <patternFill>
          <bgColor theme="0"/>
        </patternFill>
      </fill>
      <border diagonalUp="0" diagonalDown="0">
        <left/>
        <right/>
        <top/>
        <bottom/>
        <vertical/>
        <horizontal/>
      </border>
    </dxf>
  </dxfs>
  <tableStyles count="1" defaultTableStyle="TableStyleMedium2" defaultPivotStyle="PivotStyleLight16">
    <tableStyle name="mystyle" pivot="0" table="0" count="10" xr9:uid="{4CAE5F5A-6974-4AE2-AAAD-00E3450A5341}">
      <tableStyleElement type="wholeTable" dxfId="12"/>
      <tableStyleElement type="headerRow" dxfId="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oftEdge rad="0"/>
          </a:effectLst>
          <a:scene3d>
            <a:camera prst="orthographicFront"/>
            <a:lightRig rig="threePt" dir="t"/>
          </a:scene3d>
          <a:sp3d>
            <a:bevelT w="0" h="0"/>
            <a:bevelB w="0" h="0"/>
          </a:sp3d>
        </c:spPr>
      </c:pivotFmt>
      <c:pivotFmt>
        <c:idx val="3"/>
      </c:pivotFmt>
    </c:pivotFmts>
    <c:plotArea>
      <c:layout>
        <c:manualLayout>
          <c:layoutTarget val="inner"/>
          <c:xMode val="edge"/>
          <c:yMode val="edge"/>
          <c:x val="6.4605495741603708E-2"/>
          <c:y val="5.3456719971859152E-3"/>
          <c:w val="0.7772793088363954"/>
          <c:h val="0.84204505686789155"/>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accent1"/>
              </a:solidFill>
              <a:ln>
                <a:noFill/>
              </a:ln>
              <a:effectLst>
                <a:softEdge rad="0"/>
              </a:effectLst>
              <a:scene3d>
                <a:camera prst="orthographicFront"/>
                <a:lightRig rig="threePt" dir="t"/>
              </a:scene3d>
              <a:sp3d>
                <a:bevelT w="0" h="0"/>
                <a:bevelB w="0" h="0"/>
              </a:sp3d>
            </c:spPr>
            <c:extLst>
              <c:ext xmlns:c16="http://schemas.microsoft.com/office/drawing/2014/chart" uri="{C3380CC4-5D6E-409C-BE32-E72D297353CC}">
                <c16:uniqueId val="{00000001-14BD-4ABC-A807-CBAACCE70489}"/>
              </c:ext>
            </c:extLst>
          </c:dPt>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Report'!$A$40:$A$42</c:f>
              <c:strCache>
                <c:ptCount val="2"/>
                <c:pt idx="0">
                  <c:v>Admitted</c:v>
                </c:pt>
                <c:pt idx="1">
                  <c:v>Not Admitted</c:v>
                </c:pt>
              </c:strCache>
            </c:strRef>
          </c:cat>
          <c:val>
            <c:numRef>
              <c:f>'Pivot Report'!$B$40:$B$42</c:f>
              <c:numCache>
                <c:formatCode>0</c:formatCode>
                <c:ptCount val="2"/>
                <c:pt idx="0">
                  <c:v>237</c:v>
                </c:pt>
                <c:pt idx="1">
                  <c:v>242</c:v>
                </c:pt>
              </c:numCache>
            </c:numRef>
          </c:val>
          <c:extLst>
            <c:ext xmlns:c16="http://schemas.microsoft.com/office/drawing/2014/chart" uri="{C3380CC4-5D6E-409C-BE32-E72D297353CC}">
              <c16:uniqueId val="{00000003-1945-4F12-B9BF-E1F3695AC1E0}"/>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0.49478079331941544</c:v>
                </c:pt>
                <c:pt idx="1">
                  <c:v>0.50521920668058451</c:v>
                </c:pt>
              </c:numCache>
            </c:numRef>
          </c:val>
          <c:extLst>
            <c:ext xmlns:c16="http://schemas.microsoft.com/office/drawing/2014/chart" uri="{C3380CC4-5D6E-409C-BE32-E72D297353CC}">
              <c16:uniqueId val="{00000004-1945-4F12-B9BF-E1F3695AC1E0}"/>
            </c:ext>
          </c:extLst>
        </c:ser>
        <c:dLbls>
          <c:showLegendKey val="0"/>
          <c:showVal val="0"/>
          <c:showCatName val="0"/>
          <c:showSerName val="0"/>
          <c:showPercent val="0"/>
          <c:showBubbleSize val="0"/>
        </c:dLbls>
        <c:gapWidth val="0"/>
        <c:axId val="2076787503"/>
        <c:axId val="2076795183"/>
      </c:barChart>
      <c:catAx>
        <c:axId val="2076787503"/>
        <c:scaling>
          <c:orientation val="minMax"/>
        </c:scaling>
        <c:delete val="1"/>
        <c:axPos val="l"/>
        <c:numFmt formatCode="General" sourceLinked="1"/>
        <c:majorTickMark val="none"/>
        <c:minorTickMark val="none"/>
        <c:tickLblPos val="nextTo"/>
        <c:crossAx val="2076795183"/>
        <c:crosses val="autoZero"/>
        <c:auto val="1"/>
        <c:lblAlgn val="ctr"/>
        <c:lblOffset val="100"/>
        <c:noMultiLvlLbl val="0"/>
      </c:catAx>
      <c:valAx>
        <c:axId val="2076795183"/>
        <c:scaling>
          <c:orientation val="minMax"/>
        </c:scaling>
        <c:delete val="1"/>
        <c:axPos val="b"/>
        <c:numFmt formatCode="0" sourceLinked="1"/>
        <c:majorTickMark val="none"/>
        <c:minorTickMark val="none"/>
        <c:tickLblPos val="nextTo"/>
        <c:crossAx val="207678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oftEdge rad="0"/>
          </a:effectLst>
          <a:scene3d>
            <a:camera prst="orthographicFront"/>
            <a:lightRig rig="threePt" dir="t">
              <a:rot lat="0" lon="0" rev="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9124594719778"/>
          <c:y val="4.340554101810138E-2"/>
          <c:w val="0.89362499419249242"/>
          <c:h val="0.56285445261704292"/>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a:softEdge rad="0"/>
            </a:effectLst>
            <a:scene3d>
              <a:camera prst="orthographicFront"/>
              <a:lightRig rig="threePt" dir="t">
                <a:rot lat="0" lon="0" rev="0"/>
              </a:lightRig>
            </a:scene3d>
          </c:spPr>
          <c:cat>
            <c:strRef>
              <c:f>'Pivot Report'!$D$6:$D$36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Report'!$E$6:$E$36</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1290-47D3-B255-66DB5B43E6D6}"/>
            </c:ext>
          </c:extLst>
        </c:ser>
        <c:dLbls>
          <c:showLegendKey val="0"/>
          <c:showVal val="0"/>
          <c:showCatName val="0"/>
          <c:showSerName val="0"/>
          <c:showPercent val="0"/>
          <c:showBubbleSize val="0"/>
        </c:dLbls>
        <c:axId val="1293560751"/>
        <c:axId val="1293561231"/>
      </c:areaChart>
      <c:catAx>
        <c:axId val="1293560751"/>
        <c:scaling>
          <c:orientation val="minMax"/>
        </c:scaling>
        <c:delete val="1"/>
        <c:axPos val="b"/>
        <c:numFmt formatCode="General" sourceLinked="1"/>
        <c:majorTickMark val="out"/>
        <c:minorTickMark val="none"/>
        <c:tickLblPos val="nextTo"/>
        <c:crossAx val="1293561231"/>
        <c:crosses val="autoZero"/>
        <c:auto val="1"/>
        <c:lblAlgn val="ctr"/>
        <c:lblOffset val="100"/>
        <c:noMultiLvlLbl val="0"/>
      </c:catAx>
      <c:valAx>
        <c:axId val="1293561231"/>
        <c:scaling>
          <c:orientation val="minMax"/>
        </c:scaling>
        <c:delete val="1"/>
        <c:axPos val="l"/>
        <c:numFmt formatCode="General" sourceLinked="1"/>
        <c:majorTickMark val="none"/>
        <c:minorTickMark val="none"/>
        <c:tickLblPos val="nextTo"/>
        <c:crossAx val="12935607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Report'!$I$5</c:f>
              <c:strCache>
                <c:ptCount val="1"/>
                <c:pt idx="0">
                  <c:v>Total</c:v>
                </c:pt>
              </c:strCache>
            </c:strRef>
          </c:tx>
          <c:spPr>
            <a:solidFill>
              <a:schemeClr val="accent1"/>
            </a:solidFill>
            <a:ln w="25400">
              <a:noFill/>
            </a:ln>
            <a:effectLst/>
          </c:spPr>
          <c:cat>
            <c:strRef>
              <c:f>'Pivot Report'!$H$6:$H$36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Report'!$I$6:$I$36</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9CCA-452A-9FDA-C0313F88EAAD}"/>
            </c:ext>
          </c:extLst>
        </c:ser>
        <c:dLbls>
          <c:showLegendKey val="0"/>
          <c:showVal val="0"/>
          <c:showCatName val="0"/>
          <c:showSerName val="0"/>
          <c:showPercent val="0"/>
          <c:showBubbleSize val="0"/>
        </c:dLbls>
        <c:axId val="7145919"/>
        <c:axId val="7152159"/>
      </c:areaChart>
      <c:catAx>
        <c:axId val="7145919"/>
        <c:scaling>
          <c:orientation val="minMax"/>
        </c:scaling>
        <c:delete val="1"/>
        <c:axPos val="b"/>
        <c:numFmt formatCode="General" sourceLinked="1"/>
        <c:majorTickMark val="out"/>
        <c:minorTickMark val="none"/>
        <c:tickLblPos val="nextTo"/>
        <c:crossAx val="7152159"/>
        <c:crosses val="autoZero"/>
        <c:auto val="1"/>
        <c:lblAlgn val="ctr"/>
        <c:lblOffset val="100"/>
        <c:noMultiLvlLbl val="0"/>
      </c:catAx>
      <c:valAx>
        <c:axId val="7152159"/>
        <c:scaling>
          <c:orientation val="minMax"/>
        </c:scaling>
        <c:delete val="1"/>
        <c:axPos val="l"/>
        <c:numFmt formatCode="0.00" sourceLinked="1"/>
        <c:majorTickMark val="none"/>
        <c:minorTickMark val="none"/>
        <c:tickLblPos val="nextTo"/>
        <c:crossAx val="71459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14370577449016"/>
          <c:y val="0"/>
          <c:w val="0.84037552391183035"/>
          <c:h val="1"/>
        </c:manualLayout>
      </c:layout>
      <c:areaChart>
        <c:grouping val="standard"/>
        <c:varyColors val="0"/>
        <c:ser>
          <c:idx val="0"/>
          <c:order val="0"/>
          <c:tx>
            <c:strRef>
              <c:f>'Pivot Report'!$L$5</c:f>
              <c:strCache>
                <c:ptCount val="1"/>
                <c:pt idx="0">
                  <c:v>Total</c:v>
                </c:pt>
              </c:strCache>
            </c:strRef>
          </c:tx>
          <c:spPr>
            <a:solidFill>
              <a:schemeClr val="accent1"/>
            </a:solidFill>
            <a:ln w="25400">
              <a:noFill/>
            </a:ln>
            <a:effectLst/>
          </c:spPr>
          <c:cat>
            <c:strRef>
              <c:f>'Pivot Report'!$K$6:$K$36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Report'!$L$6:$L$36</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1EE5-4785-AB6F-58EAD0ECFB5F}"/>
            </c:ext>
          </c:extLst>
        </c:ser>
        <c:dLbls>
          <c:showLegendKey val="0"/>
          <c:showVal val="0"/>
          <c:showCatName val="0"/>
          <c:showSerName val="0"/>
          <c:showPercent val="0"/>
          <c:showBubbleSize val="0"/>
        </c:dLbls>
        <c:axId val="2076795663"/>
        <c:axId val="2076782703"/>
      </c:areaChart>
      <c:catAx>
        <c:axId val="2076795663"/>
        <c:scaling>
          <c:orientation val="minMax"/>
        </c:scaling>
        <c:delete val="1"/>
        <c:axPos val="b"/>
        <c:numFmt formatCode="General" sourceLinked="1"/>
        <c:majorTickMark val="out"/>
        <c:minorTickMark val="none"/>
        <c:tickLblPos val="nextTo"/>
        <c:crossAx val="2076782703"/>
        <c:crosses val="autoZero"/>
        <c:auto val="1"/>
        <c:lblAlgn val="ctr"/>
        <c:lblOffset val="100"/>
        <c:noMultiLvlLbl val="0"/>
      </c:catAx>
      <c:valAx>
        <c:axId val="2076782703"/>
        <c:scaling>
          <c:orientation val="minMax"/>
        </c:scaling>
        <c:delete val="1"/>
        <c:axPos val="l"/>
        <c:numFmt formatCode="0.00" sourceLinked="1"/>
        <c:majorTickMark val="none"/>
        <c:minorTickMark val="none"/>
        <c:tickLblPos val="nextTo"/>
        <c:crossAx val="20767956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27664497956644E-2"/>
          <c:y val="0"/>
          <c:w val="0.97287233550204333"/>
          <c:h val="0.85769882257776253"/>
        </c:manualLayout>
      </c:layout>
      <c:barChart>
        <c:barDir val="col"/>
        <c:grouping val="clustered"/>
        <c:varyColors val="0"/>
        <c:ser>
          <c:idx val="0"/>
          <c:order val="0"/>
          <c:tx>
            <c:strRef>
              <c:f>'Pivot Report'!$B$49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0-D28C-4557-BACC-B6265D0343C8}"/>
            </c:ext>
          </c:extLst>
        </c:ser>
        <c:dLbls>
          <c:showLegendKey val="0"/>
          <c:showVal val="0"/>
          <c:showCatName val="0"/>
          <c:showSerName val="0"/>
          <c:showPercent val="0"/>
          <c:showBubbleSize val="0"/>
        </c:dLbls>
        <c:gapWidth val="219"/>
        <c:overlap val="-27"/>
        <c:axId val="303729087"/>
        <c:axId val="303734367"/>
      </c:barChart>
      <c:catAx>
        <c:axId val="30372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34367"/>
        <c:crosses val="autoZero"/>
        <c:auto val="1"/>
        <c:lblAlgn val="ctr"/>
        <c:lblOffset val="100"/>
        <c:noMultiLvlLbl val="0"/>
      </c:catAx>
      <c:valAx>
        <c:axId val="303734367"/>
        <c:scaling>
          <c:orientation val="minMax"/>
        </c:scaling>
        <c:delete val="1"/>
        <c:axPos val="l"/>
        <c:numFmt formatCode="0" sourceLinked="1"/>
        <c:majorTickMark val="none"/>
        <c:minorTickMark val="none"/>
        <c:tickLblPos val="nextTo"/>
        <c:crossAx val="30372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8.2125644476145093E-2"/>
          <c:y val="0.21807098330498964"/>
          <c:w val="0.85217383994293883"/>
          <c:h val="0.74430353865991461"/>
        </c:manualLayout>
      </c:layout>
      <c:pieChart>
        <c:varyColors val="1"/>
        <c:ser>
          <c:idx val="0"/>
          <c:order val="0"/>
          <c:tx>
            <c:strRef>
              <c:f>'Pivot Report'!$E$49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354-487C-A38C-03F4811E741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354-487C-A38C-03F4811E74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Report'!$D$50:$D$52</c:f>
              <c:strCache>
                <c:ptCount val="2"/>
                <c:pt idx="0">
                  <c:v>Delay</c:v>
                </c:pt>
                <c:pt idx="1">
                  <c:v>On Time</c:v>
                </c:pt>
              </c:strCache>
            </c:strRef>
          </c:cat>
          <c:val>
            <c:numRef>
              <c:f>'Pivot Report'!$E$50:$E$52</c:f>
              <c:numCache>
                <c:formatCode>0</c:formatCode>
                <c:ptCount val="2"/>
                <c:pt idx="0">
                  <c:v>273</c:v>
                </c:pt>
                <c:pt idx="1">
                  <c:v>206</c:v>
                </c:pt>
              </c:numCache>
            </c:numRef>
          </c:val>
          <c:extLst>
            <c:ext xmlns:c16="http://schemas.microsoft.com/office/drawing/2014/chart" uri="{C3380CC4-5D6E-409C-BE32-E72D297353CC}">
              <c16:uniqueId val="{00000004-05B7-4EB7-B0BB-243E028BF6B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134936071667605"/>
          <c:y val="3.644301027674756E-2"/>
          <c:w val="0.32821739089449392"/>
          <c:h val="0.2841008470552959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Report!PivotTable10</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560055066213466"/>
          <c:y val="0.18446901181728007"/>
          <c:w val="0.59973502430466719"/>
          <c:h val="0.67585437596317866"/>
        </c:manualLayout>
      </c:layout>
      <c:doughnutChart>
        <c:varyColors val="1"/>
        <c:ser>
          <c:idx val="0"/>
          <c:order val="0"/>
          <c:tx>
            <c:strRef>
              <c:f>'Pivot Report'!$E$55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1D-46CD-B21B-9D001B0C9B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1D-46CD-B21B-9D001B0C9B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Report'!$D$56:$D$58</c:f>
              <c:strCache>
                <c:ptCount val="2"/>
                <c:pt idx="0">
                  <c:v>Female</c:v>
                </c:pt>
                <c:pt idx="1">
                  <c:v>Male</c:v>
                </c:pt>
              </c:strCache>
            </c:strRef>
          </c:cat>
          <c:val>
            <c:numRef>
              <c:f>'Pivot Report'!$E$56:$E$58</c:f>
              <c:numCache>
                <c:formatCode>0</c:formatCode>
                <c:ptCount val="2"/>
                <c:pt idx="0">
                  <c:v>235</c:v>
                </c:pt>
                <c:pt idx="1">
                  <c:v>244</c:v>
                </c:pt>
              </c:numCache>
            </c:numRef>
          </c:val>
          <c:extLst>
            <c:ext xmlns:c16="http://schemas.microsoft.com/office/drawing/2014/chart" uri="{C3380CC4-5D6E-409C-BE32-E72D297353CC}">
              <c16:uniqueId val="{00000004-43FB-422E-9A07-9E0487CA9D2F}"/>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2.981616168999671E-2"/>
          <c:y val="1.3085157866917453E-2"/>
          <c:w val="0.32937575381016776"/>
          <c:h val="0.29423276918377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Report'!$I$49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Report'!$H$50:$H$58</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Report'!$I$50:$I$58</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0-A99F-4257-A606-418E2BB90CF2}"/>
            </c:ext>
          </c:extLst>
        </c:ser>
        <c:dLbls>
          <c:showLegendKey val="0"/>
          <c:showVal val="0"/>
          <c:showCatName val="0"/>
          <c:showSerName val="0"/>
          <c:showPercent val="0"/>
          <c:showBubbleSize val="0"/>
        </c:dLbls>
        <c:gapWidth val="50"/>
        <c:axId val="1336353776"/>
        <c:axId val="1336354256"/>
      </c:barChart>
      <c:catAx>
        <c:axId val="133635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354256"/>
        <c:crosses val="autoZero"/>
        <c:auto val="1"/>
        <c:lblAlgn val="ctr"/>
        <c:lblOffset val="100"/>
        <c:noMultiLvlLbl val="0"/>
      </c:catAx>
      <c:valAx>
        <c:axId val="1336354256"/>
        <c:scaling>
          <c:orientation val="minMax"/>
        </c:scaling>
        <c:delete val="1"/>
        <c:axPos val="b"/>
        <c:numFmt formatCode="0" sourceLinked="1"/>
        <c:majorTickMark val="none"/>
        <c:minorTickMark val="none"/>
        <c:tickLblPos val="nextTo"/>
        <c:crossAx val="133635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99997876243662E-2"/>
          <c:y val="0.10668384879725086"/>
          <c:w val="0.91296574734985536"/>
          <c:h val="0.53916105203344422"/>
        </c:manualLayout>
      </c:layout>
      <c:areaChart>
        <c:grouping val="standard"/>
        <c:varyColors val="0"/>
        <c:ser>
          <c:idx val="0"/>
          <c:order val="0"/>
          <c:tx>
            <c:strRef>
              <c:f>'Pivot Report'!$L$5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Report'!$K$6:$K$36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Report'!$L$6:$L$36</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7FC9-41C9-B5EC-96AA6AF9515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76795663"/>
        <c:axId val="2076782703"/>
      </c:areaChart>
      <c:catAx>
        <c:axId val="20767956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800" b="0" i="0" u="none" strike="noStrike" kern="1200" baseline="0">
                <a:solidFill>
                  <a:schemeClr val="lt1"/>
                </a:solidFill>
                <a:latin typeface="+mn-lt"/>
                <a:ea typeface="+mn-ea"/>
                <a:cs typeface="+mn-cs"/>
              </a:defRPr>
            </a:pPr>
            <a:endParaRPr lang="en-US"/>
          </a:p>
        </c:txPr>
        <c:crossAx val="2076782703"/>
        <c:crosses val="autoZero"/>
        <c:auto val="1"/>
        <c:lblAlgn val="ctr"/>
        <c:lblOffset val="100"/>
        <c:noMultiLvlLbl val="0"/>
      </c:catAx>
      <c:valAx>
        <c:axId val="2076782703"/>
        <c:scaling>
          <c:orientation val="minMax"/>
        </c:scaling>
        <c:delete val="1"/>
        <c:axPos val="l"/>
        <c:numFmt formatCode="0.00" sourceLinked="1"/>
        <c:majorTickMark val="out"/>
        <c:minorTickMark val="none"/>
        <c:tickLblPos val="nextTo"/>
        <c:crossAx val="20767956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498864943137339E-2"/>
          <c:y val="9.4178346612737635E-2"/>
          <c:w val="0.89832513613622567"/>
          <c:h val="0.50452436013869251"/>
        </c:manualLayout>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Report'!$H$6:$H$36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Report'!$I$6:$I$36</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8C04-4A1F-BBD8-20178E2C04F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45919"/>
        <c:axId val="7152159"/>
      </c:areaChart>
      <c:catAx>
        <c:axId val="71459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800" b="0" i="0" u="none" strike="noStrike" kern="1200" baseline="0">
                <a:solidFill>
                  <a:schemeClr val="lt1"/>
                </a:solidFill>
                <a:latin typeface="+mn-lt"/>
                <a:ea typeface="+mn-ea"/>
                <a:cs typeface="+mn-cs"/>
              </a:defRPr>
            </a:pPr>
            <a:endParaRPr lang="en-US"/>
          </a:p>
        </c:txPr>
        <c:crossAx val="7152159"/>
        <c:crosses val="autoZero"/>
        <c:auto val="1"/>
        <c:lblAlgn val="ctr"/>
        <c:lblOffset val="100"/>
        <c:noMultiLvlLbl val="0"/>
      </c:catAx>
      <c:valAx>
        <c:axId val="7152159"/>
        <c:scaling>
          <c:orientation val="minMax"/>
        </c:scaling>
        <c:delete val="1"/>
        <c:axPos val="l"/>
        <c:numFmt formatCode="0.00" sourceLinked="1"/>
        <c:majorTickMark val="out"/>
        <c:minorTickMark val="none"/>
        <c:tickLblPos val="nextTo"/>
        <c:crossAx val="71459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Emergency Room Dashboard.xlsx]Pivot Report!PivotTable4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1344808569609E-2"/>
          <c:y val="0.11692372216359553"/>
          <c:w val="0.9103841881294038"/>
          <c:h val="0.53709175528316699"/>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Report'!$E$6:$E$36</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8343-420A-8320-1DA9A469281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50719"/>
        <c:axId val="7148799"/>
      </c:areaChart>
      <c:catAx>
        <c:axId val="71507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crossAx val="7148799"/>
        <c:crosses val="autoZero"/>
        <c:auto val="1"/>
        <c:lblAlgn val="ctr"/>
        <c:lblOffset val="100"/>
        <c:noMultiLvlLbl val="0"/>
      </c:catAx>
      <c:valAx>
        <c:axId val="7148799"/>
        <c:scaling>
          <c:orientation val="minMax"/>
        </c:scaling>
        <c:delete val="1"/>
        <c:axPos val="l"/>
        <c:numFmt formatCode="General" sourceLinked="1"/>
        <c:majorTickMark val="out"/>
        <c:minorTickMark val="none"/>
        <c:tickLblPos val="nextTo"/>
        <c:crossAx val="71507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Room Patient Trend'!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819150</xdr:colOff>
      <xdr:row>44</xdr:row>
      <xdr:rowOff>9526</xdr:rowOff>
    </xdr:from>
    <xdr:to>
      <xdr:col>3</xdr:col>
      <xdr:colOff>1200150</xdr:colOff>
      <xdr:row>45</xdr:row>
      <xdr:rowOff>180975</xdr:rowOff>
    </xdr:to>
    <xdr:graphicFrame macro="">
      <xdr:nvGraphicFramePr>
        <xdr:cNvPr id="7" name="Chart 6">
          <a:extLst>
            <a:ext uri="{FF2B5EF4-FFF2-40B4-BE49-F238E27FC236}">
              <a16:creationId xmlns:a16="http://schemas.microsoft.com/office/drawing/2014/main" id="{9E55E48A-B843-C0AF-F48D-3AF06EF50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56029</xdr:colOff>
      <xdr:row>0</xdr:row>
      <xdr:rowOff>67234</xdr:rowOff>
    </xdr:from>
    <xdr:to>
      <xdr:col>6</xdr:col>
      <xdr:colOff>0</xdr:colOff>
      <xdr:row>3</xdr:row>
      <xdr:rowOff>179294</xdr:rowOff>
    </xdr:to>
    <xdr:sp macro="" textlink="">
      <xdr:nvSpPr>
        <xdr:cNvPr id="3" name="Rectangle: Rounded Corners 2">
          <a:extLst>
            <a:ext uri="{FF2B5EF4-FFF2-40B4-BE49-F238E27FC236}">
              <a16:creationId xmlns:a16="http://schemas.microsoft.com/office/drawing/2014/main" id="{9E754083-2D04-EF29-0E15-6DC42F72519D}"/>
            </a:ext>
          </a:extLst>
        </xdr:cNvPr>
        <xdr:cNvSpPr/>
      </xdr:nvSpPr>
      <xdr:spPr>
        <a:xfrm>
          <a:off x="56029" y="67234"/>
          <a:ext cx="3608295" cy="68356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184897</xdr:colOff>
      <xdr:row>0</xdr:row>
      <xdr:rowOff>72838</xdr:rowOff>
    </xdr:from>
    <xdr:to>
      <xdr:col>9</xdr:col>
      <xdr:colOff>16809</xdr:colOff>
      <xdr:row>3</xdr:row>
      <xdr:rowOff>151279</xdr:rowOff>
    </xdr:to>
    <xdr:sp macro="" textlink="">
      <xdr:nvSpPr>
        <xdr:cNvPr id="4" name="Rectangle: Rounded Corners 3">
          <a:extLst>
            <a:ext uri="{FF2B5EF4-FFF2-40B4-BE49-F238E27FC236}">
              <a16:creationId xmlns:a16="http://schemas.microsoft.com/office/drawing/2014/main" id="{8CC3EA53-F1D3-45C6-B233-6FC6578B98E7}"/>
            </a:ext>
          </a:extLst>
        </xdr:cNvPr>
        <xdr:cNvSpPr/>
      </xdr:nvSpPr>
      <xdr:spPr>
        <a:xfrm>
          <a:off x="3849221" y="72838"/>
          <a:ext cx="1664073" cy="649941"/>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207310</xdr:colOff>
      <xdr:row>0</xdr:row>
      <xdr:rowOff>78441</xdr:rowOff>
    </xdr:from>
    <xdr:to>
      <xdr:col>12</xdr:col>
      <xdr:colOff>78442</xdr:colOff>
      <xdr:row>8</xdr:row>
      <xdr:rowOff>39221</xdr:rowOff>
    </xdr:to>
    <xdr:sp macro="" textlink="">
      <xdr:nvSpPr>
        <xdr:cNvPr id="5" name="Rectangle: Rounded Corners 4">
          <a:extLst>
            <a:ext uri="{FF2B5EF4-FFF2-40B4-BE49-F238E27FC236}">
              <a16:creationId xmlns:a16="http://schemas.microsoft.com/office/drawing/2014/main" id="{8CB2B5E4-9513-45B5-9C5B-EDA8691E455C}"/>
            </a:ext>
          </a:extLst>
        </xdr:cNvPr>
        <xdr:cNvSpPr/>
      </xdr:nvSpPr>
      <xdr:spPr>
        <a:xfrm>
          <a:off x="5703795" y="78441"/>
          <a:ext cx="1703294" cy="1484780"/>
        </a:xfrm>
        <a:prstGeom prst="roundRect">
          <a:avLst>
            <a:gd name="adj" fmla="val 3837"/>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196104</xdr:colOff>
      <xdr:row>0</xdr:row>
      <xdr:rowOff>89647</xdr:rowOff>
    </xdr:from>
    <xdr:to>
      <xdr:col>15</xdr:col>
      <xdr:colOff>56030</xdr:colOff>
      <xdr:row>8</xdr:row>
      <xdr:rowOff>50427</xdr:rowOff>
    </xdr:to>
    <xdr:sp macro="" textlink="">
      <xdr:nvSpPr>
        <xdr:cNvPr id="6" name="Rectangle: Rounded Corners 5">
          <a:extLst>
            <a:ext uri="{FF2B5EF4-FFF2-40B4-BE49-F238E27FC236}">
              <a16:creationId xmlns:a16="http://schemas.microsoft.com/office/drawing/2014/main" id="{12D4F93E-AEB7-4589-967C-438E8AAB33A9}"/>
            </a:ext>
          </a:extLst>
        </xdr:cNvPr>
        <xdr:cNvSpPr/>
      </xdr:nvSpPr>
      <xdr:spPr>
        <a:xfrm>
          <a:off x="7524751" y="89647"/>
          <a:ext cx="1692088" cy="1484780"/>
        </a:xfrm>
        <a:prstGeom prst="roundRect">
          <a:avLst>
            <a:gd name="adj" fmla="val 6478"/>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123262</xdr:colOff>
      <xdr:row>4</xdr:row>
      <xdr:rowOff>134470</xdr:rowOff>
    </xdr:from>
    <xdr:to>
      <xdr:col>1</xdr:col>
      <xdr:colOff>201704</xdr:colOff>
      <xdr:row>19</xdr:row>
      <xdr:rowOff>156882</xdr:rowOff>
    </xdr:to>
    <xdr:sp macro="" textlink="">
      <xdr:nvSpPr>
        <xdr:cNvPr id="2" name="Rectangle: Rounded Corners 1">
          <a:extLst>
            <a:ext uri="{FF2B5EF4-FFF2-40B4-BE49-F238E27FC236}">
              <a16:creationId xmlns:a16="http://schemas.microsoft.com/office/drawing/2014/main" id="{5383C144-7875-4EC8-A7AA-86167D57674D}"/>
            </a:ext>
          </a:extLst>
        </xdr:cNvPr>
        <xdr:cNvSpPr/>
      </xdr:nvSpPr>
      <xdr:spPr>
        <a:xfrm rot="5400000">
          <a:off x="-972112" y="1991844"/>
          <a:ext cx="2879912" cy="68916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425822</xdr:colOff>
      <xdr:row>4</xdr:row>
      <xdr:rowOff>95249</xdr:rowOff>
    </xdr:from>
    <xdr:to>
      <xdr:col>4</xdr:col>
      <xdr:colOff>11204</xdr:colOff>
      <xdr:row>8</xdr:row>
      <xdr:rowOff>28012</xdr:rowOff>
    </xdr:to>
    <xdr:sp macro="" textlink="">
      <xdr:nvSpPr>
        <xdr:cNvPr id="7" name="Rectangle: Rounded Corners 6">
          <a:extLst>
            <a:ext uri="{FF2B5EF4-FFF2-40B4-BE49-F238E27FC236}">
              <a16:creationId xmlns:a16="http://schemas.microsoft.com/office/drawing/2014/main" id="{01C8E747-26A8-4B58-B028-C6FED4F5CE47}"/>
            </a:ext>
          </a:extLst>
        </xdr:cNvPr>
        <xdr:cNvSpPr/>
      </xdr:nvSpPr>
      <xdr:spPr>
        <a:xfrm>
          <a:off x="1036543" y="857249"/>
          <a:ext cx="1417543" cy="694763"/>
        </a:xfrm>
        <a:prstGeom prst="roundRect">
          <a:avLst>
            <a:gd name="adj" fmla="val 9409"/>
          </a:avLst>
        </a:prstGeom>
        <a:solidFill>
          <a:sysClr val="window" lastClr="FFFFFF"/>
        </a:solidFill>
        <a:ln w="19050">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78441</xdr:colOff>
      <xdr:row>4</xdr:row>
      <xdr:rowOff>106458</xdr:rowOff>
    </xdr:from>
    <xdr:to>
      <xdr:col>6</xdr:col>
      <xdr:colOff>291352</xdr:colOff>
      <xdr:row>8</xdr:row>
      <xdr:rowOff>39221</xdr:rowOff>
    </xdr:to>
    <xdr:sp macro="" textlink="">
      <xdr:nvSpPr>
        <xdr:cNvPr id="8" name="Rectangle: Rounded Corners 7">
          <a:extLst>
            <a:ext uri="{FF2B5EF4-FFF2-40B4-BE49-F238E27FC236}">
              <a16:creationId xmlns:a16="http://schemas.microsoft.com/office/drawing/2014/main" id="{90EBACB1-68DB-4F1F-BC28-AF73F2BB3A18}"/>
            </a:ext>
          </a:extLst>
        </xdr:cNvPr>
        <xdr:cNvSpPr/>
      </xdr:nvSpPr>
      <xdr:spPr>
        <a:xfrm>
          <a:off x="2521323" y="868458"/>
          <a:ext cx="1434353" cy="694763"/>
        </a:xfrm>
        <a:prstGeom prst="roundRect">
          <a:avLst>
            <a:gd name="adj" fmla="val 9409"/>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420220</xdr:colOff>
      <xdr:row>4</xdr:row>
      <xdr:rowOff>72837</xdr:rowOff>
    </xdr:from>
    <xdr:to>
      <xdr:col>9</xdr:col>
      <xdr:colOff>33618</xdr:colOff>
      <xdr:row>8</xdr:row>
      <xdr:rowOff>28012</xdr:rowOff>
    </xdr:to>
    <xdr:sp macro="" textlink="">
      <xdr:nvSpPr>
        <xdr:cNvPr id="9" name="Rectangle: Rounded Corners 8">
          <a:extLst>
            <a:ext uri="{FF2B5EF4-FFF2-40B4-BE49-F238E27FC236}">
              <a16:creationId xmlns:a16="http://schemas.microsoft.com/office/drawing/2014/main" id="{85039EDE-93CE-42F1-8242-FD981C728FF1}"/>
            </a:ext>
          </a:extLst>
        </xdr:cNvPr>
        <xdr:cNvSpPr/>
      </xdr:nvSpPr>
      <xdr:spPr>
        <a:xfrm>
          <a:off x="4084544" y="834837"/>
          <a:ext cx="1445559" cy="717175"/>
        </a:xfrm>
        <a:prstGeom prst="roundRect">
          <a:avLst>
            <a:gd name="adj" fmla="val 10418"/>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369794</xdr:colOff>
      <xdr:row>12</xdr:row>
      <xdr:rowOff>1</xdr:rowOff>
    </xdr:from>
    <xdr:to>
      <xdr:col>8</xdr:col>
      <xdr:colOff>582706</xdr:colOff>
      <xdr:row>20</xdr:row>
      <xdr:rowOff>89647</xdr:rowOff>
    </xdr:to>
    <xdr:sp macro="" textlink="">
      <xdr:nvSpPr>
        <xdr:cNvPr id="11" name="Rectangle: Rounded Corners 10">
          <a:extLst>
            <a:ext uri="{FF2B5EF4-FFF2-40B4-BE49-F238E27FC236}">
              <a16:creationId xmlns:a16="http://schemas.microsoft.com/office/drawing/2014/main" id="{E3A57B8F-127A-42A3-92B8-56ED4A1ACBA7}"/>
            </a:ext>
          </a:extLst>
        </xdr:cNvPr>
        <xdr:cNvSpPr/>
      </xdr:nvSpPr>
      <xdr:spPr>
        <a:xfrm>
          <a:off x="980515" y="2286001"/>
          <a:ext cx="4487956" cy="1613646"/>
        </a:xfrm>
        <a:prstGeom prst="roundRect">
          <a:avLst>
            <a:gd name="adj" fmla="val 5208"/>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123266</xdr:colOff>
      <xdr:row>8</xdr:row>
      <xdr:rowOff>168089</xdr:rowOff>
    </xdr:from>
    <xdr:to>
      <xdr:col>15</xdr:col>
      <xdr:colOff>151280</xdr:colOff>
      <xdr:row>20</xdr:row>
      <xdr:rowOff>44823</xdr:rowOff>
    </xdr:to>
    <xdr:sp macro="" textlink="">
      <xdr:nvSpPr>
        <xdr:cNvPr id="12" name="Rectangle: Rounded Corners 11">
          <a:extLst>
            <a:ext uri="{FF2B5EF4-FFF2-40B4-BE49-F238E27FC236}">
              <a16:creationId xmlns:a16="http://schemas.microsoft.com/office/drawing/2014/main" id="{4304149C-01CC-45BA-833A-1E502FB565B2}"/>
            </a:ext>
          </a:extLst>
        </xdr:cNvPr>
        <xdr:cNvSpPr/>
      </xdr:nvSpPr>
      <xdr:spPr>
        <a:xfrm>
          <a:off x="5619751" y="1692089"/>
          <a:ext cx="3692338" cy="2162734"/>
        </a:xfrm>
        <a:prstGeom prst="roundRect">
          <a:avLst>
            <a:gd name="adj" fmla="val 3714"/>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162485</xdr:colOff>
      <xdr:row>0</xdr:row>
      <xdr:rowOff>134470</xdr:rowOff>
    </xdr:from>
    <xdr:to>
      <xdr:col>5</xdr:col>
      <xdr:colOff>577103</xdr:colOff>
      <xdr:row>2</xdr:row>
      <xdr:rowOff>30149</xdr:rowOff>
    </xdr:to>
    <xdr:sp macro="" textlink="">
      <xdr:nvSpPr>
        <xdr:cNvPr id="13" name="TextBox 12">
          <a:extLst>
            <a:ext uri="{FF2B5EF4-FFF2-40B4-BE49-F238E27FC236}">
              <a16:creationId xmlns:a16="http://schemas.microsoft.com/office/drawing/2014/main" id="{E4B46EEB-0692-A474-EAE9-3ED09AA3FAD4}"/>
            </a:ext>
          </a:extLst>
        </xdr:cNvPr>
        <xdr:cNvSpPr txBox="1"/>
      </xdr:nvSpPr>
      <xdr:spPr>
        <a:xfrm>
          <a:off x="773206" y="134470"/>
          <a:ext cx="2857500" cy="27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t>Hospital</a:t>
          </a:r>
          <a:r>
            <a:rPr lang="en-US" sz="1400" b="1" baseline="0"/>
            <a:t> Emergency Room Dashboard</a:t>
          </a:r>
          <a:endParaRPr lang="en-US" sz="1400" b="1"/>
        </a:p>
      </xdr:txBody>
    </xdr:sp>
    <xdr:clientData/>
  </xdr:twoCellAnchor>
  <xdr:twoCellAnchor editAs="oneCell">
    <xdr:from>
      <xdr:col>0</xdr:col>
      <xdr:colOff>0</xdr:colOff>
      <xdr:row>0</xdr:row>
      <xdr:rowOff>28015</xdr:rowOff>
    </xdr:from>
    <xdr:to>
      <xdr:col>1</xdr:col>
      <xdr:colOff>268941</xdr:colOff>
      <xdr:row>3</xdr:row>
      <xdr:rowOff>184897</xdr:rowOff>
    </xdr:to>
    <xdr:pic>
      <xdr:nvPicPr>
        <xdr:cNvPr id="15" name="Picture 14">
          <a:extLst>
            <a:ext uri="{FF2B5EF4-FFF2-40B4-BE49-F238E27FC236}">
              <a16:creationId xmlns:a16="http://schemas.microsoft.com/office/drawing/2014/main" id="{FDA03980-04D9-D4AA-99B7-17C6B3E7C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8015"/>
          <a:ext cx="879662" cy="728382"/>
        </a:xfrm>
        <a:prstGeom prst="rect">
          <a:avLst/>
        </a:prstGeom>
      </xdr:spPr>
    </xdr:pic>
    <xdr:clientData/>
  </xdr:twoCellAnchor>
  <xdr:twoCellAnchor editAs="absolute">
    <xdr:from>
      <xdr:col>2</xdr:col>
      <xdr:colOff>12327</xdr:colOff>
      <xdr:row>1</xdr:row>
      <xdr:rowOff>152399</xdr:rowOff>
    </xdr:from>
    <xdr:to>
      <xdr:col>4</xdr:col>
      <xdr:colOff>515471</xdr:colOff>
      <xdr:row>3</xdr:row>
      <xdr:rowOff>48078</xdr:rowOff>
    </xdr:to>
    <xdr:sp macro="" textlink="">
      <xdr:nvSpPr>
        <xdr:cNvPr id="23" name="TextBox 22">
          <a:extLst>
            <a:ext uri="{FF2B5EF4-FFF2-40B4-BE49-F238E27FC236}">
              <a16:creationId xmlns:a16="http://schemas.microsoft.com/office/drawing/2014/main" id="{0C3D6EDE-CD0C-D8D4-F686-CAC68EF730BD}"/>
            </a:ext>
          </a:extLst>
        </xdr:cNvPr>
        <xdr:cNvSpPr txBox="1"/>
      </xdr:nvSpPr>
      <xdr:spPr>
        <a:xfrm>
          <a:off x="1233768" y="342899"/>
          <a:ext cx="1724585" cy="27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t>Monthly</a:t>
          </a:r>
          <a:r>
            <a:rPr lang="en-US" sz="1000" b="1" baseline="0"/>
            <a:t> </a:t>
          </a:r>
          <a:r>
            <a:rPr lang="en-US" sz="1100" b="1" baseline="0"/>
            <a:t>Report</a:t>
          </a:r>
          <a:endParaRPr lang="en-US" sz="1100" b="1"/>
        </a:p>
      </xdr:txBody>
    </xdr:sp>
    <xdr:clientData/>
  </xdr:twoCellAnchor>
  <xdr:twoCellAnchor editAs="absolute">
    <xdr:from>
      <xdr:col>1</xdr:col>
      <xdr:colOff>531040</xdr:colOff>
      <xdr:row>5</xdr:row>
      <xdr:rowOff>164725</xdr:rowOff>
    </xdr:from>
    <xdr:to>
      <xdr:col>3</xdr:col>
      <xdr:colOff>572738</xdr:colOff>
      <xdr:row>6</xdr:row>
      <xdr:rowOff>164725</xdr:rowOff>
    </xdr:to>
    <xdr:sp macro="" textlink="">
      <xdr:nvSpPr>
        <xdr:cNvPr id="24" name="TextBox 23">
          <a:extLst>
            <a:ext uri="{FF2B5EF4-FFF2-40B4-BE49-F238E27FC236}">
              <a16:creationId xmlns:a16="http://schemas.microsoft.com/office/drawing/2014/main" id="{83A41E36-A6CC-E6F3-C9B3-1025519FD539}"/>
            </a:ext>
          </a:extLst>
        </xdr:cNvPr>
        <xdr:cNvSpPr txBox="1"/>
      </xdr:nvSpPr>
      <xdr:spPr>
        <a:xfrm>
          <a:off x="1141761" y="1117225"/>
          <a:ext cx="126313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0"/>
            <a:t>No.of</a:t>
          </a:r>
          <a:r>
            <a:rPr lang="en-US" sz="1000" b="0" baseline="0"/>
            <a:t> Patient</a:t>
          </a:r>
          <a:endParaRPr lang="en-US" sz="1000" b="0"/>
        </a:p>
      </xdr:txBody>
    </xdr:sp>
    <xdr:clientData/>
  </xdr:twoCellAnchor>
  <xdr:twoCellAnchor editAs="absolute">
    <xdr:from>
      <xdr:col>1</xdr:col>
      <xdr:colOff>526557</xdr:colOff>
      <xdr:row>5</xdr:row>
      <xdr:rowOff>14567</xdr:rowOff>
    </xdr:from>
    <xdr:to>
      <xdr:col>3</xdr:col>
      <xdr:colOff>568255</xdr:colOff>
      <xdr:row>6</xdr:row>
      <xdr:rowOff>14567</xdr:rowOff>
    </xdr:to>
    <xdr:sp macro="" textlink="'Pivot Report'!A6">
      <xdr:nvSpPr>
        <xdr:cNvPr id="27" name="TextBox 26">
          <a:extLst>
            <a:ext uri="{FF2B5EF4-FFF2-40B4-BE49-F238E27FC236}">
              <a16:creationId xmlns:a16="http://schemas.microsoft.com/office/drawing/2014/main" id="{0D87185C-39BF-CF1E-977E-825724729DAE}"/>
            </a:ext>
          </a:extLst>
        </xdr:cNvPr>
        <xdr:cNvSpPr txBox="1"/>
      </xdr:nvSpPr>
      <xdr:spPr>
        <a:xfrm>
          <a:off x="1137278" y="967067"/>
          <a:ext cx="126313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AD04B8D-4492-4FB7-914A-33C0C0691B21}" type="TxLink">
            <a:rPr lang="en-US" sz="1100" b="0" i="0" u="none" strike="noStrike">
              <a:solidFill>
                <a:srgbClr val="000000"/>
              </a:solidFill>
              <a:latin typeface="Aptos Narrow"/>
            </a:rPr>
            <a:pPr algn="ctr"/>
            <a:t>479</a:t>
          </a:fld>
          <a:endParaRPr lang="en-US" sz="1100" b="1"/>
        </a:p>
      </xdr:txBody>
    </xdr:sp>
    <xdr:clientData/>
  </xdr:twoCellAnchor>
  <xdr:twoCellAnchor editAs="absolute">
    <xdr:from>
      <xdr:col>4</xdr:col>
      <xdr:colOff>177343</xdr:colOff>
      <xdr:row>5</xdr:row>
      <xdr:rowOff>142315</xdr:rowOff>
    </xdr:from>
    <xdr:to>
      <xdr:col>6</xdr:col>
      <xdr:colOff>231671</xdr:colOff>
      <xdr:row>6</xdr:row>
      <xdr:rowOff>142315</xdr:rowOff>
    </xdr:to>
    <xdr:sp macro="" textlink="">
      <xdr:nvSpPr>
        <xdr:cNvPr id="30" name="TextBox 29">
          <a:extLst>
            <a:ext uri="{FF2B5EF4-FFF2-40B4-BE49-F238E27FC236}">
              <a16:creationId xmlns:a16="http://schemas.microsoft.com/office/drawing/2014/main" id="{63D307F2-0C71-7497-2403-9DBFA920898A}"/>
            </a:ext>
          </a:extLst>
        </xdr:cNvPr>
        <xdr:cNvSpPr txBox="1"/>
      </xdr:nvSpPr>
      <xdr:spPr>
        <a:xfrm>
          <a:off x="2620225" y="1094815"/>
          <a:ext cx="127577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0"/>
            <a:t>Average</a:t>
          </a:r>
          <a:r>
            <a:rPr lang="en-US" sz="1000" b="0" baseline="0"/>
            <a:t> Wait Time</a:t>
          </a:r>
          <a:endParaRPr lang="en-US" sz="1000" b="0"/>
        </a:p>
      </xdr:txBody>
    </xdr:sp>
    <xdr:clientData/>
  </xdr:twoCellAnchor>
  <xdr:twoCellAnchor editAs="absolute">
    <xdr:from>
      <xdr:col>4</xdr:col>
      <xdr:colOff>156051</xdr:colOff>
      <xdr:row>4</xdr:row>
      <xdr:rowOff>182657</xdr:rowOff>
    </xdr:from>
    <xdr:to>
      <xdr:col>6</xdr:col>
      <xdr:colOff>210379</xdr:colOff>
      <xdr:row>5</xdr:row>
      <xdr:rowOff>182657</xdr:rowOff>
    </xdr:to>
    <xdr:sp macro="" textlink="'Pivot Report'!A9">
      <xdr:nvSpPr>
        <xdr:cNvPr id="31" name="TextBox 30">
          <a:extLst>
            <a:ext uri="{FF2B5EF4-FFF2-40B4-BE49-F238E27FC236}">
              <a16:creationId xmlns:a16="http://schemas.microsoft.com/office/drawing/2014/main" id="{84140ACF-5B95-D357-C132-D37944D4A25C}"/>
            </a:ext>
          </a:extLst>
        </xdr:cNvPr>
        <xdr:cNvSpPr txBox="1"/>
      </xdr:nvSpPr>
      <xdr:spPr>
        <a:xfrm>
          <a:off x="2598933" y="944657"/>
          <a:ext cx="127577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82ACD5D-EBDB-4989-92FB-8670E7C81298}" type="TxLink">
            <a:rPr lang="en-US" sz="1100" b="0" i="0" u="none" strike="noStrike">
              <a:solidFill>
                <a:srgbClr val="000000"/>
              </a:solidFill>
              <a:latin typeface="Aptos Narrow"/>
            </a:rPr>
            <a:pPr algn="ctr"/>
            <a:t>34.90</a:t>
          </a:fld>
          <a:endParaRPr lang="en-US" sz="1100" b="1"/>
        </a:p>
      </xdr:txBody>
    </xdr:sp>
    <xdr:clientData/>
  </xdr:twoCellAnchor>
  <xdr:twoCellAnchor editAs="absolute">
    <xdr:from>
      <xdr:col>6</xdr:col>
      <xdr:colOff>487455</xdr:colOff>
      <xdr:row>5</xdr:row>
      <xdr:rowOff>125505</xdr:rowOff>
    </xdr:from>
    <xdr:to>
      <xdr:col>8</xdr:col>
      <xdr:colOff>567847</xdr:colOff>
      <xdr:row>6</xdr:row>
      <xdr:rowOff>125505</xdr:rowOff>
    </xdr:to>
    <xdr:sp macro="" textlink="">
      <xdr:nvSpPr>
        <xdr:cNvPr id="14" name="TextBox 13">
          <a:extLst>
            <a:ext uri="{FF2B5EF4-FFF2-40B4-BE49-F238E27FC236}">
              <a16:creationId xmlns:a16="http://schemas.microsoft.com/office/drawing/2014/main" id="{7F95D183-9936-BF67-70C7-556A828E554F}"/>
            </a:ext>
          </a:extLst>
        </xdr:cNvPr>
        <xdr:cNvSpPr txBox="1"/>
      </xdr:nvSpPr>
      <xdr:spPr>
        <a:xfrm>
          <a:off x="4151779" y="1078005"/>
          <a:ext cx="1301833"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0"/>
            <a:t>Patient</a:t>
          </a:r>
          <a:r>
            <a:rPr lang="en-US" sz="1000" b="0" baseline="0"/>
            <a:t> Satisfaction Score</a:t>
          </a:r>
          <a:endParaRPr lang="en-US" sz="1000" b="0"/>
        </a:p>
      </xdr:txBody>
    </xdr:sp>
    <xdr:clientData/>
  </xdr:twoCellAnchor>
  <xdr:twoCellAnchor editAs="absolute">
    <xdr:from>
      <xdr:col>6</xdr:col>
      <xdr:colOff>492227</xdr:colOff>
      <xdr:row>4</xdr:row>
      <xdr:rowOff>165847</xdr:rowOff>
    </xdr:from>
    <xdr:to>
      <xdr:col>8</xdr:col>
      <xdr:colOff>546556</xdr:colOff>
      <xdr:row>5</xdr:row>
      <xdr:rowOff>165847</xdr:rowOff>
    </xdr:to>
    <xdr:sp macro="" textlink="'Pivot Report'!A12">
      <xdr:nvSpPr>
        <xdr:cNvPr id="16" name="TextBox 15">
          <a:extLst>
            <a:ext uri="{FF2B5EF4-FFF2-40B4-BE49-F238E27FC236}">
              <a16:creationId xmlns:a16="http://schemas.microsoft.com/office/drawing/2014/main" id="{DA554808-3BB4-C03C-C3C2-82F21C4BBC85}"/>
            </a:ext>
          </a:extLst>
        </xdr:cNvPr>
        <xdr:cNvSpPr txBox="1"/>
      </xdr:nvSpPr>
      <xdr:spPr>
        <a:xfrm>
          <a:off x="4156551" y="927847"/>
          <a:ext cx="127577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A6FC1A5-1884-4169-BA1D-B6F5A2B413F1}" type="TxLink">
            <a:rPr lang="en-US" sz="1100" b="0" i="0" u="none" strike="noStrike">
              <a:solidFill>
                <a:srgbClr val="000000"/>
              </a:solidFill>
              <a:latin typeface="Aptos Narrow"/>
            </a:rPr>
            <a:pPr algn="ctr"/>
            <a:t>5.30</a:t>
          </a:fld>
          <a:endParaRPr lang="en-US" sz="1100" b="1"/>
        </a:p>
      </xdr:txBody>
    </xdr:sp>
    <xdr:clientData/>
  </xdr:twoCellAnchor>
  <xdr:twoCellAnchor editAs="oneCell">
    <xdr:from>
      <xdr:col>3</xdr:col>
      <xdr:colOff>403411</xdr:colOff>
      <xdr:row>4</xdr:row>
      <xdr:rowOff>117661</xdr:rowOff>
    </xdr:from>
    <xdr:to>
      <xdr:col>4</xdr:col>
      <xdr:colOff>44822</xdr:colOff>
      <xdr:row>5</xdr:row>
      <xdr:rowOff>179292</xdr:rowOff>
    </xdr:to>
    <xdr:pic>
      <xdr:nvPicPr>
        <xdr:cNvPr id="18" name="Graphic 17" descr="Male profile with solid fill">
          <a:extLst>
            <a:ext uri="{FF2B5EF4-FFF2-40B4-BE49-F238E27FC236}">
              <a16:creationId xmlns:a16="http://schemas.microsoft.com/office/drawing/2014/main" id="{1C1B8A0B-F7BD-8201-453D-7CF8178F6AD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35573" y="879661"/>
          <a:ext cx="252131" cy="252131"/>
        </a:xfrm>
        <a:prstGeom prst="rect">
          <a:avLst/>
        </a:prstGeom>
      </xdr:spPr>
    </xdr:pic>
    <xdr:clientData/>
  </xdr:twoCellAnchor>
  <xdr:twoCellAnchor editAs="oneCell">
    <xdr:from>
      <xdr:col>8</xdr:col>
      <xdr:colOff>380999</xdr:colOff>
      <xdr:row>4</xdr:row>
      <xdr:rowOff>95251</xdr:rowOff>
    </xdr:from>
    <xdr:to>
      <xdr:col>8</xdr:col>
      <xdr:colOff>605116</xdr:colOff>
      <xdr:row>5</xdr:row>
      <xdr:rowOff>128868</xdr:rowOff>
    </xdr:to>
    <xdr:pic>
      <xdr:nvPicPr>
        <xdr:cNvPr id="20" name="Graphic 19" descr="Customer review with solid fill">
          <a:extLst>
            <a:ext uri="{FF2B5EF4-FFF2-40B4-BE49-F238E27FC236}">
              <a16:creationId xmlns:a16="http://schemas.microsoft.com/office/drawing/2014/main" id="{667EFF46-D1FE-2412-5EF5-4DD83E8D836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66764" y="857251"/>
          <a:ext cx="224117" cy="224117"/>
        </a:xfrm>
        <a:prstGeom prst="rect">
          <a:avLst/>
        </a:prstGeom>
      </xdr:spPr>
    </xdr:pic>
    <xdr:clientData/>
  </xdr:twoCellAnchor>
  <xdr:twoCellAnchor editAs="oneCell">
    <xdr:from>
      <xdr:col>6</xdr:col>
      <xdr:colOff>44823</xdr:colOff>
      <xdr:row>4</xdr:row>
      <xdr:rowOff>128868</xdr:rowOff>
    </xdr:from>
    <xdr:to>
      <xdr:col>6</xdr:col>
      <xdr:colOff>280146</xdr:colOff>
      <xdr:row>5</xdr:row>
      <xdr:rowOff>128867</xdr:rowOff>
    </xdr:to>
    <xdr:pic>
      <xdr:nvPicPr>
        <xdr:cNvPr id="22" name="Graphic 21" descr="Hourglass Finished with solid fill">
          <a:extLst>
            <a:ext uri="{FF2B5EF4-FFF2-40B4-BE49-F238E27FC236}">
              <a16:creationId xmlns:a16="http://schemas.microsoft.com/office/drawing/2014/main" id="{44B6FD61-B5B5-E895-49D8-0906A37BF1B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09147" y="890868"/>
          <a:ext cx="235323" cy="190499"/>
        </a:xfrm>
        <a:prstGeom prst="rect">
          <a:avLst/>
        </a:prstGeom>
      </xdr:spPr>
    </xdr:pic>
    <xdr:clientData/>
  </xdr:twoCellAnchor>
  <xdr:twoCellAnchor editAs="oneCell">
    <xdr:from>
      <xdr:col>0</xdr:col>
      <xdr:colOff>184897</xdr:colOff>
      <xdr:row>5</xdr:row>
      <xdr:rowOff>44823</xdr:rowOff>
    </xdr:from>
    <xdr:to>
      <xdr:col>1</xdr:col>
      <xdr:colOff>145676</xdr:colOff>
      <xdr:row>19</xdr:row>
      <xdr:rowOff>121023</xdr:rowOff>
    </xdr:to>
    <mc:AlternateContent xmlns:mc="http://schemas.openxmlformats.org/markup-compatibility/2006" xmlns:a14="http://schemas.microsoft.com/office/drawing/2010/main">
      <mc:Choice Requires="a14">
        <xdr:graphicFrame macro="">
          <xdr:nvGraphicFramePr>
            <xdr:cNvPr id="17" name="Date (Month)">
              <a:extLst>
                <a:ext uri="{FF2B5EF4-FFF2-40B4-BE49-F238E27FC236}">
                  <a16:creationId xmlns:a16="http://schemas.microsoft.com/office/drawing/2014/main" id="{55B51424-0A0E-4CF6-888C-8092388763B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84897" y="997323"/>
              <a:ext cx="5715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280146</xdr:colOff>
      <xdr:row>6</xdr:row>
      <xdr:rowOff>50425</xdr:rowOff>
    </xdr:from>
    <xdr:to>
      <xdr:col>4</xdr:col>
      <xdr:colOff>2465</xdr:colOff>
      <xdr:row>9</xdr:row>
      <xdr:rowOff>34960</xdr:rowOff>
    </xdr:to>
    <xdr:graphicFrame macro="">
      <xdr:nvGraphicFramePr>
        <xdr:cNvPr id="19" name="Chart 18">
          <a:hlinkClick xmlns:r="http://schemas.openxmlformats.org/officeDocument/2006/relationships" r:id="rId8"/>
          <a:extLst>
            <a:ext uri="{FF2B5EF4-FFF2-40B4-BE49-F238E27FC236}">
              <a16:creationId xmlns:a16="http://schemas.microsoft.com/office/drawing/2014/main" id="{0D8A3354-EFD6-4AA8-B20A-3ACEAA3B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78443</xdr:colOff>
      <xdr:row>6</xdr:row>
      <xdr:rowOff>89649</xdr:rowOff>
    </xdr:from>
    <xdr:to>
      <xdr:col>6</xdr:col>
      <xdr:colOff>296955</xdr:colOff>
      <xdr:row>8</xdr:row>
      <xdr:rowOff>22412</xdr:rowOff>
    </xdr:to>
    <xdr:graphicFrame macro="">
      <xdr:nvGraphicFramePr>
        <xdr:cNvPr id="21" name="Chart 20">
          <a:hlinkClick xmlns:r="http://schemas.openxmlformats.org/officeDocument/2006/relationships" r:id="rId10"/>
          <a:extLst>
            <a:ext uri="{FF2B5EF4-FFF2-40B4-BE49-F238E27FC236}">
              <a16:creationId xmlns:a16="http://schemas.microsoft.com/office/drawing/2014/main" id="{07544E58-DE3A-4167-A188-A90A46314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179294</xdr:colOff>
      <xdr:row>6</xdr:row>
      <xdr:rowOff>11205</xdr:rowOff>
    </xdr:from>
    <xdr:to>
      <xdr:col>9</xdr:col>
      <xdr:colOff>44824</xdr:colOff>
      <xdr:row>8</xdr:row>
      <xdr:rowOff>16809</xdr:rowOff>
    </xdr:to>
    <xdr:graphicFrame macro="">
      <xdr:nvGraphicFramePr>
        <xdr:cNvPr id="26" name="Chart 25">
          <a:hlinkClick xmlns:r="http://schemas.openxmlformats.org/officeDocument/2006/relationships" r:id="rId12"/>
          <a:extLst>
            <a:ext uri="{FF2B5EF4-FFF2-40B4-BE49-F238E27FC236}">
              <a16:creationId xmlns:a16="http://schemas.microsoft.com/office/drawing/2014/main" id="{2ED2C4BB-FE2A-4742-B0F5-A5E99224F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392205</xdr:colOff>
          <xdr:row>8</xdr:row>
          <xdr:rowOff>84044</xdr:rowOff>
        </xdr:from>
        <xdr:to>
          <xdr:col>9</xdr:col>
          <xdr:colOff>39221</xdr:colOff>
          <xdr:row>11</xdr:row>
          <xdr:rowOff>112076</xdr:rowOff>
        </xdr:to>
        <xdr:pic>
          <xdr:nvPicPr>
            <xdr:cNvPr id="29" name="Picture 28">
              <a:extLst>
                <a:ext uri="{FF2B5EF4-FFF2-40B4-BE49-F238E27FC236}">
                  <a16:creationId xmlns:a16="http://schemas.microsoft.com/office/drawing/2014/main" id="{C9CEF5A2-81B7-6696-39D8-4C505CFF6033}"/>
                </a:ext>
              </a:extLst>
            </xdr:cNvPr>
            <xdr:cNvPicPr>
              <a:picLocks noChangeAspect="1" noChangeArrowheads="1"/>
              <a:extLst>
                <a:ext uri="{84589F7E-364E-4C9E-8A38-B11213B215E9}">
                  <a14:cameraTool cellRange="'Pivot Report'!$A$44:$D$46" spid="_x0000_s1050"/>
                </a:ext>
              </a:extLst>
            </xdr:cNvPicPr>
          </xdr:nvPicPr>
          <xdr:blipFill>
            <a:blip xmlns:r="http://schemas.openxmlformats.org/officeDocument/2006/relationships" r:embed="rId14"/>
            <a:srcRect/>
            <a:stretch>
              <a:fillRect/>
            </a:stretch>
          </xdr:blipFill>
          <xdr:spPr bwMode="auto">
            <a:xfrm>
              <a:off x="1002926" y="1608044"/>
              <a:ext cx="4532780" cy="599532"/>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420219</xdr:colOff>
      <xdr:row>12</xdr:row>
      <xdr:rowOff>0</xdr:rowOff>
    </xdr:from>
    <xdr:to>
      <xdr:col>8</xdr:col>
      <xdr:colOff>358586</xdr:colOff>
      <xdr:row>19</xdr:row>
      <xdr:rowOff>56030</xdr:rowOff>
    </xdr:to>
    <xdr:graphicFrame macro="">
      <xdr:nvGraphicFramePr>
        <xdr:cNvPr id="32" name="Chart 31">
          <a:extLst>
            <a:ext uri="{FF2B5EF4-FFF2-40B4-BE49-F238E27FC236}">
              <a16:creationId xmlns:a16="http://schemas.microsoft.com/office/drawing/2014/main" id="{A2FBB4CB-8A7D-4FC4-BF3A-653BE7E26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514638</xdr:colOff>
      <xdr:row>19</xdr:row>
      <xdr:rowOff>87406</xdr:rowOff>
    </xdr:from>
    <xdr:to>
      <xdr:col>6</xdr:col>
      <xdr:colOff>145675</xdr:colOff>
      <xdr:row>20</xdr:row>
      <xdr:rowOff>87406</xdr:rowOff>
    </xdr:to>
    <xdr:sp macro="" textlink="">
      <xdr:nvSpPr>
        <xdr:cNvPr id="37" name="TextBox 36">
          <a:extLst>
            <a:ext uri="{FF2B5EF4-FFF2-40B4-BE49-F238E27FC236}">
              <a16:creationId xmlns:a16="http://schemas.microsoft.com/office/drawing/2014/main" id="{C3FC8B00-B489-1AEC-3963-FD91A51C1328}"/>
            </a:ext>
          </a:extLst>
        </xdr:cNvPr>
        <xdr:cNvSpPr txBox="1"/>
      </xdr:nvSpPr>
      <xdr:spPr>
        <a:xfrm>
          <a:off x="2346800" y="3706906"/>
          <a:ext cx="146319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0"/>
            <a:t>No.</a:t>
          </a:r>
          <a:r>
            <a:rPr lang="en-US" sz="1000" b="0" baseline="0"/>
            <a:t> of patient By Age Group</a:t>
          </a:r>
          <a:endParaRPr lang="en-US" sz="1000" b="0"/>
        </a:p>
      </xdr:txBody>
    </xdr:sp>
    <xdr:clientData/>
  </xdr:twoCellAnchor>
  <xdr:twoCellAnchor>
    <xdr:from>
      <xdr:col>9</xdr:col>
      <xdr:colOff>235323</xdr:colOff>
      <xdr:row>0</xdr:row>
      <xdr:rowOff>33617</xdr:rowOff>
    </xdr:from>
    <xdr:to>
      <xdr:col>11</xdr:col>
      <xdr:colOff>605117</xdr:colOff>
      <xdr:row>7</xdr:row>
      <xdr:rowOff>100852</xdr:rowOff>
    </xdr:to>
    <xdr:graphicFrame macro="">
      <xdr:nvGraphicFramePr>
        <xdr:cNvPr id="38" name="Chart 37">
          <a:extLst>
            <a:ext uri="{FF2B5EF4-FFF2-40B4-BE49-F238E27FC236}">
              <a16:creationId xmlns:a16="http://schemas.microsoft.com/office/drawing/2014/main" id="{0974EAEE-1B74-455C-A2EB-69B01C3B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408183</xdr:colOff>
      <xdr:row>7</xdr:row>
      <xdr:rowOff>48186</xdr:rowOff>
    </xdr:from>
    <xdr:to>
      <xdr:col>11</xdr:col>
      <xdr:colOff>462512</xdr:colOff>
      <xdr:row>8</xdr:row>
      <xdr:rowOff>48186</xdr:rowOff>
    </xdr:to>
    <xdr:sp macro="" textlink="">
      <xdr:nvSpPr>
        <xdr:cNvPr id="40" name="TextBox 39">
          <a:extLst>
            <a:ext uri="{FF2B5EF4-FFF2-40B4-BE49-F238E27FC236}">
              <a16:creationId xmlns:a16="http://schemas.microsoft.com/office/drawing/2014/main" id="{728F510E-220A-B12F-4D80-066DE106348F}"/>
            </a:ext>
          </a:extLst>
        </xdr:cNvPr>
        <xdr:cNvSpPr txBox="1"/>
      </xdr:nvSpPr>
      <xdr:spPr>
        <a:xfrm>
          <a:off x="5904668" y="1381686"/>
          <a:ext cx="127577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0"/>
            <a:t>Patient</a:t>
          </a:r>
          <a:r>
            <a:rPr lang="en-US" sz="1000" b="0" baseline="0"/>
            <a:t> Attend Status</a:t>
          </a:r>
          <a:endParaRPr lang="en-US" sz="1000" b="0"/>
        </a:p>
      </xdr:txBody>
    </xdr:sp>
    <xdr:clientData/>
  </xdr:twoCellAnchor>
  <xdr:twoCellAnchor>
    <xdr:from>
      <xdr:col>12</xdr:col>
      <xdr:colOff>218516</xdr:colOff>
      <xdr:row>0</xdr:row>
      <xdr:rowOff>106455</xdr:rowOff>
    </xdr:from>
    <xdr:to>
      <xdr:col>15</xdr:col>
      <xdr:colOff>28014</xdr:colOff>
      <xdr:row>8</xdr:row>
      <xdr:rowOff>39220</xdr:rowOff>
    </xdr:to>
    <xdr:graphicFrame macro="">
      <xdr:nvGraphicFramePr>
        <xdr:cNvPr id="25" name="Chart 24">
          <a:extLst>
            <a:ext uri="{FF2B5EF4-FFF2-40B4-BE49-F238E27FC236}">
              <a16:creationId xmlns:a16="http://schemas.microsoft.com/office/drawing/2014/main" id="{F8AF4AE5-8CFF-4E65-8B98-122DAB211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12</xdr:col>
      <xdr:colOff>370083</xdr:colOff>
      <xdr:row>7</xdr:row>
      <xdr:rowOff>54909</xdr:rowOff>
    </xdr:from>
    <xdr:to>
      <xdr:col>14</xdr:col>
      <xdr:colOff>424412</xdr:colOff>
      <xdr:row>8</xdr:row>
      <xdr:rowOff>54909</xdr:rowOff>
    </xdr:to>
    <xdr:sp macro="" textlink="">
      <xdr:nvSpPr>
        <xdr:cNvPr id="33" name="TextBox 32">
          <a:extLst>
            <a:ext uri="{FF2B5EF4-FFF2-40B4-BE49-F238E27FC236}">
              <a16:creationId xmlns:a16="http://schemas.microsoft.com/office/drawing/2014/main" id="{3713A53D-CA5A-EE3C-71E5-195B0E94E436}"/>
            </a:ext>
          </a:extLst>
        </xdr:cNvPr>
        <xdr:cNvSpPr txBox="1"/>
      </xdr:nvSpPr>
      <xdr:spPr>
        <a:xfrm>
          <a:off x="7698730" y="1388409"/>
          <a:ext cx="127577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0"/>
            <a:t>Gender</a:t>
          </a:r>
          <a:r>
            <a:rPr lang="en-US" sz="1000" b="0" baseline="0"/>
            <a:t> wise Analysis</a:t>
          </a:r>
          <a:endParaRPr lang="en-US" sz="1000" b="0"/>
        </a:p>
      </xdr:txBody>
    </xdr:sp>
    <xdr:clientData/>
  </xdr:twoCellAnchor>
  <xdr:twoCellAnchor>
    <xdr:from>
      <xdr:col>9</xdr:col>
      <xdr:colOff>313765</xdr:colOff>
      <xdr:row>8</xdr:row>
      <xdr:rowOff>190499</xdr:rowOff>
    </xdr:from>
    <xdr:to>
      <xdr:col>15</xdr:col>
      <xdr:colOff>56029</xdr:colOff>
      <xdr:row>19</xdr:row>
      <xdr:rowOff>59390</xdr:rowOff>
    </xdr:to>
    <xdr:graphicFrame macro="">
      <xdr:nvGraphicFramePr>
        <xdr:cNvPr id="34" name="Chart 33">
          <a:extLst>
            <a:ext uri="{FF2B5EF4-FFF2-40B4-BE49-F238E27FC236}">
              <a16:creationId xmlns:a16="http://schemas.microsoft.com/office/drawing/2014/main" id="{7FF83381-9F39-4648-8379-6B67668C4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10</xdr:col>
      <xdr:colOff>274543</xdr:colOff>
      <xdr:row>18</xdr:row>
      <xdr:rowOff>189380</xdr:rowOff>
    </xdr:from>
    <xdr:to>
      <xdr:col>14</xdr:col>
      <xdr:colOff>100852</xdr:colOff>
      <xdr:row>19</xdr:row>
      <xdr:rowOff>189380</xdr:rowOff>
    </xdr:to>
    <xdr:sp macro="" textlink="">
      <xdr:nvSpPr>
        <xdr:cNvPr id="35" name="TextBox 34">
          <a:extLst>
            <a:ext uri="{FF2B5EF4-FFF2-40B4-BE49-F238E27FC236}">
              <a16:creationId xmlns:a16="http://schemas.microsoft.com/office/drawing/2014/main" id="{3F14214F-0736-BB5A-5B97-5E41BBD41024}"/>
            </a:ext>
          </a:extLst>
        </xdr:cNvPr>
        <xdr:cNvSpPr txBox="1"/>
      </xdr:nvSpPr>
      <xdr:spPr>
        <a:xfrm>
          <a:off x="6381749" y="3618380"/>
          <a:ext cx="226919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0"/>
            <a:t>No.</a:t>
          </a:r>
          <a:r>
            <a:rPr lang="en-US" sz="1000" b="0" baseline="0"/>
            <a:t> of Patient by Department Referal</a:t>
          </a:r>
          <a:endParaRPr lang="en-US" sz="1000" b="0"/>
        </a:p>
      </xdr:txBody>
    </xdr:sp>
    <xdr:clientData/>
  </xdr:twoCellAnchor>
  <xdr:twoCellAnchor editAs="oneCell">
    <xdr:from>
      <xdr:col>6</xdr:col>
      <xdr:colOff>196102</xdr:colOff>
      <xdr:row>0</xdr:row>
      <xdr:rowOff>179295</xdr:rowOff>
    </xdr:from>
    <xdr:to>
      <xdr:col>9</xdr:col>
      <xdr:colOff>5603</xdr:colOff>
      <xdr:row>3</xdr:row>
      <xdr:rowOff>33618</xdr:rowOff>
    </xdr:to>
    <mc:AlternateContent xmlns:mc="http://schemas.openxmlformats.org/markup-compatibility/2006" xmlns:a14="http://schemas.microsoft.com/office/drawing/2010/main">
      <mc:Choice Requires="a14">
        <xdr:graphicFrame macro="">
          <xdr:nvGraphicFramePr>
            <xdr:cNvPr id="36" name="Date (Year)">
              <a:extLst>
                <a:ext uri="{FF2B5EF4-FFF2-40B4-BE49-F238E27FC236}">
                  <a16:creationId xmlns:a16="http://schemas.microsoft.com/office/drawing/2014/main" id="{CBEA9316-71A1-4791-8FD9-335D4AFC0FD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60426" y="179295"/>
              <a:ext cx="1641662" cy="425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581024</xdr:colOff>
      <xdr:row>38</xdr:row>
      <xdr:rowOff>152400</xdr:rowOff>
    </xdr:to>
    <xdr:graphicFrame macro="">
      <xdr:nvGraphicFramePr>
        <xdr:cNvPr id="2" name="Chart 1">
          <a:extLst>
            <a:ext uri="{FF2B5EF4-FFF2-40B4-BE49-F238E27FC236}">
              <a16:creationId xmlns:a16="http://schemas.microsoft.com/office/drawing/2014/main" id="{57936BC8-A117-473B-A539-85C042775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0.01766</cdr:x>
      <cdr:y>0.02234</cdr:y>
    </cdr:from>
    <cdr:to>
      <cdr:x>0.07546</cdr:x>
      <cdr:y>0.14605</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DF04103-216C-039E-37C1-FA355E65E9D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79400" y="165100"/>
          <a:ext cx="914400" cy="914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38100</xdr:colOff>
      <xdr:row>0</xdr:row>
      <xdr:rowOff>0</xdr:rowOff>
    </xdr:from>
    <xdr:to>
      <xdr:col>26</xdr:col>
      <xdr:colOff>123825</xdr:colOff>
      <xdr:row>42</xdr:row>
      <xdr:rowOff>9525</xdr:rowOff>
    </xdr:to>
    <xdr:graphicFrame macro="">
      <xdr:nvGraphicFramePr>
        <xdr:cNvPr id="2" name="Chart 1">
          <a:extLst>
            <a:ext uri="{FF2B5EF4-FFF2-40B4-BE49-F238E27FC236}">
              <a16:creationId xmlns:a16="http://schemas.microsoft.com/office/drawing/2014/main" id="{D3C276A8-C010-4054-A8C1-56C548532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0.01494</cdr:x>
      <cdr:y>0.01665</cdr:y>
    </cdr:from>
    <cdr:to>
      <cdr:x>0.07233</cdr:x>
      <cdr:y>0.1308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7CB4A79-03BC-F37E-5630-B144651269D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38125" y="133350"/>
          <a:ext cx="914400" cy="9144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581025</xdr:colOff>
      <xdr:row>38</xdr:row>
      <xdr:rowOff>152400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00BBD223-F3DA-4A94-844E-33D187070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0.01565</cdr:x>
      <cdr:y>0.01418</cdr:y>
    </cdr:from>
    <cdr:to>
      <cdr:x>0.07345</cdr:x>
      <cdr:y>0.13789</cdr:y>
    </cdr:to>
    <cdr:pic>
      <cdr:nvPicPr>
        <cdr:cNvPr id="3" name="Graphic 2" descr="Home with solid fill">
          <a:extLst xmlns:a="http://schemas.openxmlformats.org/drawingml/2006/main">
            <a:ext uri="{FF2B5EF4-FFF2-40B4-BE49-F238E27FC236}">
              <a16:creationId xmlns:a16="http://schemas.microsoft.com/office/drawing/2014/main" id="{4C59E1B4-12D8-0014-743A-3072B4D3EBD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47650" y="104775"/>
          <a:ext cx="914400" cy="9144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68981482" createdVersion="5" refreshedVersion="8" minRefreshableVersion="3" recordCount="0" supportSubquery="1" supportAdvancedDrill="1" xr:uid="{4768A2E9-9776-4583-8E16-DF9727867A7D}">
  <cacheSource type="external" connectionId="3"/>
  <cacheFields count="4">
    <cacheField name="[Measures].[Count of Patient Id]" caption="Count of Patient Id" numFmtId="0" hierarchy="23"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71296299" createdVersion="5" refreshedVersion="8" minRefreshableVersion="3" recordCount="0" supportSubquery="1" supportAdvancedDrill="1" xr:uid="{024A39F1-CBAB-4F77-9B01-71F162C592DA}">
  <cacheSource type="external" connectionId="3"/>
  <cacheFields count="3">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71643522" createdVersion="5" refreshedVersion="8" minRefreshableVersion="3" recordCount="0" supportSubquery="1" supportAdvancedDrill="1" xr:uid="{B09627C2-4EE1-4FA7-8893-91E64F71E87F}">
  <cacheSource type="external" connectionId="3"/>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71990738" createdVersion="5" refreshedVersion="8" minRefreshableVersion="3" recordCount="0" supportSubquery="1" supportAdvancedDrill="1" xr:uid="{37DB0E12-947D-429F-9CA1-876BC1F99073}">
  <cacheSource type="external" connectionId="3"/>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72685184" createdVersion="5" refreshedVersion="8" minRefreshableVersion="3" recordCount="0" supportSubquery="1" supportAdvancedDrill="1" xr:uid="{2D786BA1-CEFD-4E9C-8834-411CA713A466}">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74537039" createdVersion="5" refreshedVersion="8" minRefreshableVersion="3" recordCount="0" supportSubquery="1" supportAdvancedDrill="1" xr:uid="{14F078D3-18B9-41D4-9592-712D19D0CB1B}">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77199072" createdVersion="5" refreshedVersion="8" minRefreshableVersion="3" recordCount="0" supportSubquery="1" supportAdvancedDrill="1" xr:uid="{1EBEB092-CDA6-410E-966B-3F233A06EC37}">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79745373" createdVersion="5" refreshedVersion="8" minRefreshableVersion="3" recordCount="0" supportSubquery="1" supportAdvancedDrill="1" xr:uid="{D17BB9CD-1B81-4AF5-B1D8-9BFFC65B2F11}">
  <cacheSource type="external" connectionId="3"/>
  <cacheFields count="4">
    <cacheField name="[Calendar_Table].[Date (Month)].[Date (Month)]" caption="Date (Month)" numFmtId="0" hierarchy="1" level="1">
      <sharedItems containsSemiMixedTypes="0" containsNonDate="0" containsString="0"/>
    </cacheField>
    <cacheField name="[Hospital Emergency Room Data].[Calculated Column 1].[Calculated Column 1]" caption="Calculated Column 1" numFmtId="0" hierarchy="16" level="1">
      <sharedItems count="8">
        <s v="0-09"/>
        <s v="10-19"/>
        <s v="20-29"/>
        <s v="30-39"/>
        <s v="40-49"/>
        <s v="50-59"/>
        <s v="60-69"/>
        <s v="70-79"/>
      </sharedItems>
    </cacheField>
    <cacheField name="[Measures].[Count of Calculated Column 1]" caption="Count of Calculated Column 1"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82060183" createdVersion="5" refreshedVersion="8" minRefreshableVersion="3" recordCount="0" supportSubquery="1" supportAdvancedDrill="1" xr:uid="{EB21D00F-B89B-4391-9AC1-FD0F23BF7D55}">
  <cacheSource type="external" connectionId="3"/>
  <cacheFields count="4">
    <cacheField name="[Calendar_Table].[Date (Month)].[Date (Month)]" caption="Date (Month)" numFmtId="0" hierarchy="1" level="1">
      <sharedItems containsSemiMixedTypes="0" containsNonDate="0" containsString="0"/>
    </cacheField>
    <cacheField name="[Hospital Emergency Room Data].[Calculated Column 2].[Calculated Column 2]" caption="Calculated Column 2" numFmtId="0" hierarchy="17" level="1">
      <sharedItems count="2">
        <s v="Delay"/>
        <s v="On Time"/>
      </sharedItems>
    </cacheField>
    <cacheField name="[Measures].[Count of Calculated Column 2]" caption="Count of Calculated Column 2"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84490738" createdVersion="5" refreshedVersion="8" minRefreshableVersion="3" recordCount="0" supportSubquery="1" supportAdvancedDrill="1" xr:uid="{4AE57D74-E878-441F-BD53-693402DB793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8703704" createdVersion="5" refreshedVersion="8" minRefreshableVersion="3" recordCount="0" supportSubquery="1" supportAdvancedDrill="1" xr:uid="{35EC8AA2-CA06-4145-B6E9-830C76395A2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69.543389814811" createdVersion="5" refreshedVersion="8" minRefreshableVersion="3" recordCount="0" supportSubquery="1" supportAdvancedDrill="1" xr:uid="{1045F3FD-1479-493E-BB47-53D47B5E0D84}">
  <cacheSource type="external" connectionId="3"/>
  <cacheFields count="4">
    <cacheField name="[Calendar_Table].[Date (Month)].[Date (Month)]" caption="Date (Month)" numFmtId="0" hierarchy="1" level="1">
      <sharedItems count="1">
        <s v="May"/>
      </sharedItems>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refreshedDate="46042.531955208331" createdVersion="3" refreshedVersion="8" minRefreshableVersion="3" recordCount="0" supportSubquery="1" supportAdvancedDrill="1" xr:uid="{A94DCC19-1BD1-4B5C-B3FF-4B59B6261E2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750054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7FF6E1-F06A-4D02-9307-99ECB7097AF1}" name="PivotTable6" cacheId="5" applyNumberFormats="0" applyBorderFormats="0" applyFontFormats="0" applyPatternFormats="0" applyAlignmentFormats="0" applyWidthHeightFormats="1" dataCaption="Values" tag="691efb87-213d-496c-b6e8-c6c9b3fb8a05" updatedVersion="8" minRefreshableVersion="3" subtotalHiddenItems="1" itemPrintTitles="1" createdVersion="5" indent="0" outline="1" outlineData="1" multipleFieldFilters="0" chartFormat="32">
  <location ref="K5:L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1"/>
  </dataFields>
  <formats count="1">
    <format dxfId="0">
      <pivotArea outline="0" collapsedLevelsAreSubtotals="1" fieldPosition="0"/>
    </format>
  </formats>
  <chartFormats count="2">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90F776-6413-4CCC-B6BB-CCE72E7B531F}" name="PivotTable12" cacheId="11" applyNumberFormats="0" applyBorderFormats="0" applyFontFormats="0" applyPatternFormats="0" applyAlignmentFormats="0" applyWidthHeightFormats="1" dataCaption="Values" tag="17ffbf95-522c-4d87-bf88-66c2a1620792" updatedVersion="8" minRefreshableVersion="3" subtotalHiddenItems="1" itemPrintTitles="1" createdVersion="5" indent="0" outline="1" outlineData="1" multipleFieldFilters="0" chartFormat="7">
  <location ref="K40:K4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66B454-B0E3-40F5-AAF3-E02F048D9ADB}" name="PivotTable4" cacheId="0" applyNumberFormats="0" applyBorderFormats="0" applyFontFormats="0" applyPatternFormats="0" applyAlignmentFormats="0" applyWidthHeightFormats="1" dataCaption="Values" tag="691efb87-213d-496c-b6e8-c6c9b3fb8a05" updatedVersion="8" minRefreshableVersion="3" subtotalHiddenItems="1" itemPrintTitles="1" createdVersion="5" indent="0" outline="1" outlineData="1" multipleFieldFilters="0" chartFormat="15">
  <location ref="D5:E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chartFormats count="2">
    <chartFormat chart="3"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38D1A4-0C2B-4DC0-BF1D-CD8C529F09FA}" name="PivotTable2" cacheId="2" applyNumberFormats="0" applyBorderFormats="0" applyFontFormats="0" applyPatternFormats="0" applyAlignmentFormats="0" applyWidthHeightFormats="1" dataCaption="Values" tag="89d30335-5ce7-485b-9e21-2d079fc1fe88"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BF6EBD-5C0D-4DF3-84D6-2467C74224FA}" name="PivotTable1" cacheId="1" applyNumberFormats="0" applyBorderFormats="0" applyFontFormats="0" applyPatternFormats="0" applyAlignmentFormats="0" applyWidthHeightFormats="1" dataCaption="Values" tag="691efb87-213d-496c-b6e8-c6c9b3fb8a05"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A16F2D-B6C7-4E6E-825A-DF6AFADDBA0A}" name="PivotTable9" cacheId="8" applyNumberFormats="0" applyBorderFormats="0" applyFontFormats="0" applyPatternFormats="0" applyAlignmentFormats="0" applyWidthHeightFormats="1" dataCaption="Values" tag="17ffbf95-522c-4d87-bf88-66c2a1620792" updatedVersion="8" minRefreshableVersion="3" subtotalHiddenItems="1" itemPrintTitles="1" createdVersion="5" indent="0" outline="1" outlineData="1" multipleFieldFilters="0" chartFormat="13">
  <location ref="D49:E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2" fld="2" subtotal="count" baseField="0" baseItem="0"/>
  </dataFields>
  <formats count="1">
    <format dxfId="3">
      <pivotArea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4CC054-C9C0-4716-A608-3DF69C9A9E68}" name="PivotTable7" cacheId="6" applyNumberFormats="0" applyBorderFormats="0" applyFontFormats="0" applyPatternFormats="0" applyAlignmentFormats="0" applyWidthHeightFormats="1" dataCaption="Values" tag="17ffbf95-522c-4d87-bf88-66c2a1620792" updatedVersion="8" minRefreshableVersion="3" subtotalHiddenItems="1" itemPrintTitles="1" createdVersion="5" indent="0" outline="1" outlineData="1" multipleFieldFilters="0" chartFormat="3">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5">
      <pivotArea outline="0" collapsedLevelsAreSubtotals="1" fieldPosition="0"/>
    </format>
    <format dxfId="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5CE7FB-3A06-43F9-81DB-9CF10A643FBA}" name="PivotTable5" cacheId="4" applyNumberFormats="0" applyBorderFormats="0" applyFontFormats="0" applyPatternFormats="0" applyAlignmentFormats="0" applyWidthHeightFormats="1" dataCaption="Values" tag="691efb87-213d-496c-b6e8-c6c9b3fb8a05" updatedVersion="8" minRefreshableVersion="3" subtotalHiddenItems="1" itemPrintTitles="1" createdVersion="5" indent="0" outline="1" outlineData="1" multipleFieldFilters="0" chartFormat="25">
  <location ref="H5:I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6">
      <pivotArea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8E568E-AF69-407E-92DC-A85BB458D63D}" name="PivotTable3" cacheId="3" applyNumberFormats="0" applyBorderFormats="0" applyFontFormats="0" applyPatternFormats="0" applyAlignmentFormats="0" applyWidthHeightFormats="1" dataCaption="Values" tag="17ffbf95-522c-4d87-bf88-66c2a1620792"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7">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40B154-1B98-42BA-98B2-433AD02CA790}" name="PivotTable8" cacheId="7" applyNumberFormats="0" applyBorderFormats="0" applyFontFormats="0" applyPatternFormats="0" applyAlignmentFormats="0" applyWidthHeightFormats="1" dataCaption="Values" tag="17ffbf95-522c-4d87-bf88-66c2a1620792" updatedVersion="8" minRefreshableVersion="3" subtotalHiddenItems="1" itemPrintTitles="1" createdVersion="5" indent="0" outline="1" outlineData="1" multipleFieldFilters="0" chartFormat="7">
  <location ref="A49: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0"/>
  </dataFields>
  <formats count="1">
    <format dxfId="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275F5D-1596-43DA-BD41-549A961D5097}" name="PivotTable11" cacheId="10" applyNumberFormats="0" applyBorderFormats="0" applyFontFormats="0" applyPatternFormats="0" applyAlignmentFormats="0" applyWidthHeightFormats="1" dataCaption="Values" tag="17ffbf95-522c-4d87-bf88-66c2a1620792" updatedVersion="8" minRefreshableVersion="3" subtotalHiddenItems="1" itemPrintTitles="1" createdVersion="5" indent="0" outline="1" outlineData="1" multipleFieldFilters="0" chartFormat="27">
  <location ref="H49:I5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1">
    <format dxfId="9">
      <pivotArea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E17A78-DD56-4D57-AECB-64ED069EC9BC}" name="PivotTable10" cacheId="9" applyNumberFormats="0" applyBorderFormats="0" applyFontFormats="0" applyPatternFormats="0" applyAlignmentFormats="0" applyWidthHeightFormats="1" dataCaption="Values" tag="17ffbf95-522c-4d87-bf88-66c2a1620792" updatedVersion="8" minRefreshableVersion="3" subtotalHiddenItems="1" itemPrintTitles="1" createdVersion="5" indent="0" outline="1" outlineData="1" multipleFieldFilters="0" chartFormat="23">
  <location ref="D55:E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0">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D33EBE0-9808-4E2D-A14B-EEA20468339D}"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575005408">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F48CE95-1D8D-4449-88B0-E8ABC56F5CF4}"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7500540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7221025-D019-4752-B804-44008132B8A3}" cache="Slicer_Date__Month" caption="Date (Month)" showCaption="0" level="1" style="mystyle" rowHeight="182880"/>
  <slicer name="Date (Year)" xr10:uid="{89146B56-F99C-4ABD-87B0-2980ED88AAF9}" cache="Slicer_Date__Year" caption="Date (Year)" columnCount="2" showCaption="0" level="1" style="mystyl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285B-CFDE-4331-A5A8-C63B20C369EC}">
  <dimension ref="A5:L58"/>
  <sheetViews>
    <sheetView topLeftCell="A33" workbookViewId="0">
      <selection activeCell="B6" sqref="B6"/>
    </sheetView>
  </sheetViews>
  <sheetFormatPr defaultRowHeight="15" x14ac:dyDescent="0.25"/>
  <cols>
    <col min="1" max="1" width="18.140625" customWidth="1"/>
    <col min="2" max="2" width="19.5703125" customWidth="1"/>
    <col min="3" max="3" width="12.5703125" customWidth="1"/>
    <col min="4" max="4" width="18.140625" bestFit="1" customWidth="1"/>
    <col min="5" max="5" width="28.5703125" bestFit="1" customWidth="1"/>
    <col min="8" max="8" width="13.42578125" bestFit="1" customWidth="1"/>
    <col min="9" max="9" width="26.5703125" bestFit="1" customWidth="1"/>
    <col min="11" max="11" width="13.42578125" bestFit="1" customWidth="1"/>
    <col min="12" max="12" width="34.85546875" bestFit="1" customWidth="1"/>
  </cols>
  <sheetData>
    <row r="5" spans="1:12" x14ac:dyDescent="0.25">
      <c r="A5" t="s">
        <v>0</v>
      </c>
      <c r="D5" s="4" t="s">
        <v>16</v>
      </c>
      <c r="E5" t="s">
        <v>0</v>
      </c>
      <c r="H5" s="4" t="s">
        <v>16</v>
      </c>
      <c r="I5" t="s">
        <v>1</v>
      </c>
      <c r="K5" s="4" t="s">
        <v>16</v>
      </c>
      <c r="L5" t="s">
        <v>2</v>
      </c>
    </row>
    <row r="6" spans="1:12" x14ac:dyDescent="0.25">
      <c r="A6" s="1">
        <v>479</v>
      </c>
      <c r="D6" s="5" t="s">
        <v>37</v>
      </c>
      <c r="E6" s="1">
        <v>19</v>
      </c>
      <c r="H6" s="5" t="s">
        <v>37</v>
      </c>
      <c r="I6" s="2">
        <v>40.473684210526315</v>
      </c>
      <c r="K6" s="5" t="s">
        <v>37</v>
      </c>
      <c r="L6" s="2">
        <v>3.8</v>
      </c>
    </row>
    <row r="7" spans="1:12" x14ac:dyDescent="0.25">
      <c r="D7" s="5" t="s">
        <v>38</v>
      </c>
      <c r="E7" s="1">
        <v>13</v>
      </c>
      <c r="H7" s="5" t="s">
        <v>38</v>
      </c>
      <c r="I7" s="2">
        <v>29.46153846153846</v>
      </c>
      <c r="K7" s="5" t="s">
        <v>38</v>
      </c>
      <c r="L7" s="2">
        <v>7.75</v>
      </c>
    </row>
    <row r="8" spans="1:12" x14ac:dyDescent="0.25">
      <c r="A8" t="s">
        <v>1</v>
      </c>
      <c r="D8" s="5" t="s">
        <v>39</v>
      </c>
      <c r="E8" s="1">
        <v>14</v>
      </c>
      <c r="H8" s="5" t="s">
        <v>39</v>
      </c>
      <c r="I8" s="2">
        <v>33.928571428571431</v>
      </c>
      <c r="K8" s="5" t="s">
        <v>39</v>
      </c>
      <c r="L8" s="2">
        <v>4.5999999999999996</v>
      </c>
    </row>
    <row r="9" spans="1:12" x14ac:dyDescent="0.25">
      <c r="A9" s="2">
        <v>34.90187891440501</v>
      </c>
      <c r="D9" s="5" t="s">
        <v>40</v>
      </c>
      <c r="E9" s="1">
        <v>9</v>
      </c>
      <c r="H9" s="5" t="s">
        <v>40</v>
      </c>
      <c r="I9" s="2">
        <v>32.222222222222221</v>
      </c>
      <c r="K9" s="5" t="s">
        <v>40</v>
      </c>
      <c r="L9" s="2">
        <v>6</v>
      </c>
    </row>
    <row r="10" spans="1:12" x14ac:dyDescent="0.25">
      <c r="D10" s="5" t="s">
        <v>41</v>
      </c>
      <c r="E10" s="1">
        <v>19</v>
      </c>
      <c r="H10" s="5" t="s">
        <v>41</v>
      </c>
      <c r="I10" s="2">
        <v>35.736842105263158</v>
      </c>
      <c r="K10" s="5" t="s">
        <v>41</v>
      </c>
      <c r="L10" s="2">
        <v>5.5714285714285712</v>
      </c>
    </row>
    <row r="11" spans="1:12" x14ac:dyDescent="0.25">
      <c r="A11" t="s">
        <v>2</v>
      </c>
      <c r="D11" s="5" t="s">
        <v>42</v>
      </c>
      <c r="E11" s="1">
        <v>14</v>
      </c>
      <c r="H11" s="5" t="s">
        <v>42</v>
      </c>
      <c r="I11" s="2">
        <v>30.142857142857142</v>
      </c>
      <c r="K11" s="5" t="s">
        <v>42</v>
      </c>
      <c r="L11" s="2">
        <v>2</v>
      </c>
    </row>
    <row r="12" spans="1:12" x14ac:dyDescent="0.25">
      <c r="A12" s="2">
        <v>5.3034482758620687</v>
      </c>
      <c r="D12" s="5" t="s">
        <v>43</v>
      </c>
      <c r="E12" s="1">
        <v>11</v>
      </c>
      <c r="H12" s="5" t="s">
        <v>43</v>
      </c>
      <c r="I12" s="2">
        <v>33.81818181818182</v>
      </c>
      <c r="K12" s="5" t="s">
        <v>43</v>
      </c>
      <c r="L12" s="2">
        <v>8</v>
      </c>
    </row>
    <row r="13" spans="1:12" x14ac:dyDescent="0.25">
      <c r="D13" s="5" t="s">
        <v>44</v>
      </c>
      <c r="E13" s="1">
        <v>22</v>
      </c>
      <c r="H13" s="5" t="s">
        <v>44</v>
      </c>
      <c r="I13" s="2">
        <v>31.681818181818183</v>
      </c>
      <c r="K13" s="5" t="s">
        <v>44</v>
      </c>
      <c r="L13" s="2">
        <v>8</v>
      </c>
    </row>
    <row r="14" spans="1:12" x14ac:dyDescent="0.25">
      <c r="D14" s="5" t="s">
        <v>45</v>
      </c>
      <c r="E14" s="1">
        <v>12</v>
      </c>
      <c r="H14" s="5" t="s">
        <v>45</v>
      </c>
      <c r="I14" s="2">
        <v>36.416666666666664</v>
      </c>
      <c r="K14" s="5" t="s">
        <v>45</v>
      </c>
      <c r="L14" s="2">
        <v>5.25</v>
      </c>
    </row>
    <row r="15" spans="1:12" x14ac:dyDescent="0.25">
      <c r="D15" s="5" t="s">
        <v>46</v>
      </c>
      <c r="E15" s="1">
        <v>13</v>
      </c>
      <c r="H15" s="5" t="s">
        <v>46</v>
      </c>
      <c r="I15" s="2">
        <v>33.692307692307693</v>
      </c>
      <c r="K15" s="5" t="s">
        <v>46</v>
      </c>
      <c r="L15" s="2">
        <v>6</v>
      </c>
    </row>
    <row r="16" spans="1:12" x14ac:dyDescent="0.25">
      <c r="D16" s="5" t="s">
        <v>47</v>
      </c>
      <c r="E16" s="1">
        <v>17</v>
      </c>
      <c r="H16" s="5" t="s">
        <v>47</v>
      </c>
      <c r="I16" s="2">
        <v>39.117647058823529</v>
      </c>
      <c r="K16" s="5" t="s">
        <v>47</v>
      </c>
      <c r="L16" s="2">
        <v>6.5</v>
      </c>
    </row>
    <row r="17" spans="4:12" x14ac:dyDescent="0.25">
      <c r="D17" s="5" t="s">
        <v>48</v>
      </c>
      <c r="E17" s="1">
        <v>30</v>
      </c>
      <c r="H17" s="5" t="s">
        <v>48</v>
      </c>
      <c r="I17" s="2">
        <v>36.93333333333333</v>
      </c>
      <c r="K17" s="5" t="s">
        <v>48</v>
      </c>
      <c r="L17" s="2">
        <v>5.75</v>
      </c>
    </row>
    <row r="18" spans="4:12" x14ac:dyDescent="0.25">
      <c r="D18" s="5" t="s">
        <v>49</v>
      </c>
      <c r="E18" s="1">
        <v>13</v>
      </c>
      <c r="H18" s="5" t="s">
        <v>49</v>
      </c>
      <c r="I18" s="2">
        <v>29.923076923076923</v>
      </c>
      <c r="K18" s="5" t="s">
        <v>49</v>
      </c>
      <c r="L18" s="2">
        <v>5.6</v>
      </c>
    </row>
    <row r="19" spans="4:12" x14ac:dyDescent="0.25">
      <c r="D19" s="5" t="s">
        <v>50</v>
      </c>
      <c r="E19" s="1">
        <v>21</v>
      </c>
      <c r="H19" s="5" t="s">
        <v>50</v>
      </c>
      <c r="I19" s="2">
        <v>31.666666666666668</v>
      </c>
      <c r="K19" s="5" t="s">
        <v>50</v>
      </c>
      <c r="L19" s="2">
        <v>6.5</v>
      </c>
    </row>
    <row r="20" spans="4:12" x14ac:dyDescent="0.25">
      <c r="D20" s="5" t="s">
        <v>51</v>
      </c>
      <c r="E20" s="1">
        <v>12</v>
      </c>
      <c r="H20" s="5" t="s">
        <v>51</v>
      </c>
      <c r="I20" s="2">
        <v>40.25</v>
      </c>
      <c r="K20" s="5" t="s">
        <v>51</v>
      </c>
      <c r="L20" s="2">
        <v>5.666666666666667</v>
      </c>
    </row>
    <row r="21" spans="4:12" x14ac:dyDescent="0.25">
      <c r="D21" s="5" t="s">
        <v>52</v>
      </c>
      <c r="E21" s="1">
        <v>17</v>
      </c>
      <c r="H21" s="5" t="s">
        <v>52</v>
      </c>
      <c r="I21" s="2">
        <v>30</v>
      </c>
      <c r="K21" s="5" t="s">
        <v>52</v>
      </c>
      <c r="L21" s="2">
        <v>5.666666666666667</v>
      </c>
    </row>
    <row r="22" spans="4:12" x14ac:dyDescent="0.25">
      <c r="D22" s="5" t="s">
        <v>53</v>
      </c>
      <c r="E22" s="1">
        <v>16</v>
      </c>
      <c r="H22" s="5" t="s">
        <v>53</v>
      </c>
      <c r="I22" s="2">
        <v>35</v>
      </c>
      <c r="K22" s="5" t="s">
        <v>53</v>
      </c>
      <c r="L22" s="2">
        <v>5.8</v>
      </c>
    </row>
    <row r="23" spans="4:12" x14ac:dyDescent="0.25">
      <c r="D23" s="5" t="s">
        <v>54</v>
      </c>
      <c r="E23" s="1">
        <v>20</v>
      </c>
      <c r="H23" s="5" t="s">
        <v>54</v>
      </c>
      <c r="I23" s="2">
        <v>41.85</v>
      </c>
      <c r="K23" s="5" t="s">
        <v>54</v>
      </c>
      <c r="L23" s="2">
        <v>4.666666666666667</v>
      </c>
    </row>
    <row r="24" spans="4:12" x14ac:dyDescent="0.25">
      <c r="D24" s="5" t="s">
        <v>55</v>
      </c>
      <c r="E24" s="1">
        <v>18</v>
      </c>
      <c r="H24" s="5" t="s">
        <v>55</v>
      </c>
      <c r="I24" s="2">
        <v>33.277777777777779</v>
      </c>
      <c r="K24" s="5" t="s">
        <v>55</v>
      </c>
      <c r="L24" s="2">
        <v>4.833333333333333</v>
      </c>
    </row>
    <row r="25" spans="4:12" x14ac:dyDescent="0.25">
      <c r="D25" s="5" t="s">
        <v>56</v>
      </c>
      <c r="E25" s="1">
        <v>16</v>
      </c>
      <c r="H25" s="5" t="s">
        <v>56</v>
      </c>
      <c r="I25" s="2">
        <v>32.9375</v>
      </c>
      <c r="K25" s="5" t="s">
        <v>56</v>
      </c>
      <c r="L25" s="2">
        <v>2.3333333333333335</v>
      </c>
    </row>
    <row r="26" spans="4:12" x14ac:dyDescent="0.25">
      <c r="D26" s="5" t="s">
        <v>57</v>
      </c>
      <c r="E26" s="1">
        <v>15</v>
      </c>
      <c r="H26" s="5" t="s">
        <v>57</v>
      </c>
      <c r="I26" s="2">
        <v>33.266666666666666</v>
      </c>
      <c r="K26" s="5" t="s">
        <v>57</v>
      </c>
      <c r="L26" s="2">
        <v>4.5</v>
      </c>
    </row>
    <row r="27" spans="4:12" x14ac:dyDescent="0.25">
      <c r="D27" s="5" t="s">
        <v>58</v>
      </c>
      <c r="E27" s="1">
        <v>18</v>
      </c>
      <c r="H27" s="5" t="s">
        <v>58</v>
      </c>
      <c r="I27" s="2">
        <v>34.444444444444443</v>
      </c>
      <c r="K27" s="5" t="s">
        <v>58</v>
      </c>
      <c r="L27" s="2">
        <v>6.666666666666667</v>
      </c>
    </row>
    <row r="28" spans="4:12" x14ac:dyDescent="0.25">
      <c r="D28" s="5" t="s">
        <v>59</v>
      </c>
      <c r="E28" s="1">
        <v>12</v>
      </c>
      <c r="H28" s="5" t="s">
        <v>59</v>
      </c>
      <c r="I28" s="2">
        <v>43.416666666666664</v>
      </c>
      <c r="K28" s="5" t="s">
        <v>59</v>
      </c>
      <c r="L28" s="2">
        <v>7.5</v>
      </c>
    </row>
    <row r="29" spans="4:12" x14ac:dyDescent="0.25">
      <c r="D29" s="5" t="s">
        <v>60</v>
      </c>
      <c r="E29" s="1">
        <v>14</v>
      </c>
      <c r="H29" s="5" t="s">
        <v>60</v>
      </c>
      <c r="I29" s="2">
        <v>36.357142857142854</v>
      </c>
      <c r="K29" s="5" t="s">
        <v>60</v>
      </c>
      <c r="L29" s="2">
        <v>5.2857142857142856</v>
      </c>
    </row>
    <row r="30" spans="4:12" x14ac:dyDescent="0.25">
      <c r="D30" s="5" t="s">
        <v>61</v>
      </c>
      <c r="E30" s="1">
        <v>18</v>
      </c>
      <c r="H30" s="5" t="s">
        <v>61</v>
      </c>
      <c r="I30" s="2">
        <v>40.611111111111114</v>
      </c>
      <c r="K30" s="5" t="s">
        <v>61</v>
      </c>
      <c r="L30" s="2">
        <v>2.875</v>
      </c>
    </row>
    <row r="31" spans="4:12" x14ac:dyDescent="0.25">
      <c r="D31" s="5" t="s">
        <v>62</v>
      </c>
      <c r="E31" s="1">
        <v>16</v>
      </c>
      <c r="H31" s="5" t="s">
        <v>62</v>
      </c>
      <c r="I31" s="2">
        <v>29.875</v>
      </c>
      <c r="K31" s="5" t="s">
        <v>62</v>
      </c>
      <c r="L31" s="2">
        <v>6.25</v>
      </c>
    </row>
    <row r="32" spans="4:12" x14ac:dyDescent="0.25">
      <c r="D32" s="5" t="s">
        <v>63</v>
      </c>
      <c r="E32" s="1">
        <v>16</v>
      </c>
      <c r="H32" s="5" t="s">
        <v>63</v>
      </c>
      <c r="I32" s="2">
        <v>33.5</v>
      </c>
      <c r="K32" s="5" t="s">
        <v>63</v>
      </c>
      <c r="L32" s="2">
        <v>6.125</v>
      </c>
    </row>
    <row r="33" spans="1:12" x14ac:dyDescent="0.25">
      <c r="D33" s="5" t="s">
        <v>64</v>
      </c>
      <c r="E33" s="1">
        <v>16</v>
      </c>
      <c r="H33" s="5" t="s">
        <v>64</v>
      </c>
      <c r="I33" s="2">
        <v>32.5625</v>
      </c>
      <c r="K33" s="5" t="s">
        <v>64</v>
      </c>
      <c r="L33" s="2">
        <v>5.75</v>
      </c>
    </row>
    <row r="34" spans="1:12" x14ac:dyDescent="0.25">
      <c r="D34" s="5" t="s">
        <v>65</v>
      </c>
      <c r="E34" s="1">
        <v>14</v>
      </c>
      <c r="H34" s="5" t="s">
        <v>65</v>
      </c>
      <c r="I34" s="2">
        <v>38.571428571428569</v>
      </c>
      <c r="K34" s="5" t="s">
        <v>65</v>
      </c>
      <c r="L34" s="2">
        <v>5.375</v>
      </c>
    </row>
    <row r="35" spans="1:12" x14ac:dyDescent="0.25">
      <c r="D35" s="5" t="s">
        <v>66</v>
      </c>
      <c r="E35" s="1">
        <v>14</v>
      </c>
      <c r="H35" s="5" t="s">
        <v>66</v>
      </c>
      <c r="I35" s="2">
        <v>32.714285714285715</v>
      </c>
      <c r="K35" s="5" t="s">
        <v>66</v>
      </c>
      <c r="L35" s="2">
        <v>5.6</v>
      </c>
    </row>
    <row r="36" spans="1:12" x14ac:dyDescent="0.25">
      <c r="D36" s="5" t="s">
        <v>15</v>
      </c>
      <c r="E36" s="1">
        <v>479</v>
      </c>
      <c r="H36" s="5" t="s">
        <v>15</v>
      </c>
      <c r="I36" s="2">
        <v>34.90187891440501</v>
      </c>
      <c r="K36" s="5" t="s">
        <v>15</v>
      </c>
      <c r="L36" s="2">
        <v>5.3034482758620687</v>
      </c>
    </row>
    <row r="38" spans="1:12" x14ac:dyDescent="0.25">
      <c r="D38" s="5"/>
      <c r="E38" s="1"/>
      <c r="H38" s="5"/>
      <c r="I38" s="2"/>
      <c r="K38" s="5"/>
      <c r="L38" s="2"/>
    </row>
    <row r="39" spans="1:12" x14ac:dyDescent="0.25">
      <c r="A39" s="4" t="s">
        <v>16</v>
      </c>
      <c r="B39" t="s">
        <v>17</v>
      </c>
      <c r="C39" t="s">
        <v>18</v>
      </c>
    </row>
    <row r="40" spans="1:12" x14ac:dyDescent="0.25">
      <c r="A40" s="5" t="s">
        <v>3</v>
      </c>
      <c r="B40" s="6">
        <v>237</v>
      </c>
      <c r="C40" s="7">
        <v>0.49478079331941544</v>
      </c>
      <c r="K40" s="4" t="s">
        <v>16</v>
      </c>
    </row>
    <row r="41" spans="1:12" x14ac:dyDescent="0.25">
      <c r="A41" s="5" t="s">
        <v>14</v>
      </c>
      <c r="B41" s="6">
        <v>242</v>
      </c>
      <c r="C41" s="7">
        <v>0.50521920668058451</v>
      </c>
      <c r="K41" s="5" t="s">
        <v>36</v>
      </c>
    </row>
    <row r="42" spans="1:12" x14ac:dyDescent="0.25">
      <c r="A42" s="5" t="s">
        <v>15</v>
      </c>
      <c r="B42" s="6">
        <v>479</v>
      </c>
      <c r="C42" s="7">
        <v>1</v>
      </c>
      <c r="K42" s="5" t="s">
        <v>15</v>
      </c>
    </row>
    <row r="44" spans="1:12" ht="15.75" x14ac:dyDescent="0.25">
      <c r="A44" s="10" t="s">
        <v>19</v>
      </c>
      <c r="B44" s="10" t="s">
        <v>21</v>
      </c>
      <c r="C44" s="10" t="s">
        <v>20</v>
      </c>
      <c r="D44" s="9"/>
    </row>
    <row r="45" spans="1:12" ht="15.75" x14ac:dyDescent="0.25">
      <c r="A45" s="11" t="str">
        <f>A41</f>
        <v>Not Admitted</v>
      </c>
      <c r="B45" s="11">
        <f>B41</f>
        <v>242</v>
      </c>
      <c r="C45" s="12">
        <f>C41</f>
        <v>0.50521920668058451</v>
      </c>
      <c r="D45" s="8"/>
    </row>
    <row r="46" spans="1:12" ht="15.75" x14ac:dyDescent="0.25">
      <c r="A46" s="11" t="str">
        <f>A40</f>
        <v>Admitted</v>
      </c>
      <c r="B46" s="11">
        <f>B40</f>
        <v>237</v>
      </c>
      <c r="C46" s="12">
        <f>C40</f>
        <v>0.49478079331941544</v>
      </c>
      <c r="D46" s="8"/>
    </row>
    <row r="49" spans="1:9" x14ac:dyDescent="0.25">
      <c r="A49" s="4" t="s">
        <v>16</v>
      </c>
      <c r="B49" t="s">
        <v>22</v>
      </c>
      <c r="D49" s="4" t="s">
        <v>16</v>
      </c>
      <c r="E49" t="s">
        <v>23</v>
      </c>
      <c r="H49" s="4" t="s">
        <v>16</v>
      </c>
      <c r="I49" t="s">
        <v>35</v>
      </c>
    </row>
    <row r="50" spans="1:9" x14ac:dyDescent="0.25">
      <c r="A50" s="5" t="s">
        <v>12</v>
      </c>
      <c r="B50" s="6">
        <v>70</v>
      </c>
      <c r="D50" s="5" t="s">
        <v>5</v>
      </c>
      <c r="E50" s="6">
        <v>273</v>
      </c>
      <c r="H50" s="5" t="s">
        <v>33</v>
      </c>
      <c r="I50" s="6">
        <v>4</v>
      </c>
    </row>
    <row r="51" spans="1:9" x14ac:dyDescent="0.25">
      <c r="A51" s="5" t="s">
        <v>7</v>
      </c>
      <c r="B51" s="6">
        <v>67</v>
      </c>
      <c r="D51" s="5" t="s">
        <v>8</v>
      </c>
      <c r="E51" s="6">
        <v>206</v>
      </c>
      <c r="H51" s="5" t="s">
        <v>31</v>
      </c>
      <c r="I51" s="6">
        <v>11</v>
      </c>
    </row>
    <row r="52" spans="1:9" x14ac:dyDescent="0.25">
      <c r="A52" s="5" t="s">
        <v>11</v>
      </c>
      <c r="B52" s="6">
        <v>64</v>
      </c>
      <c r="D52" s="5" t="s">
        <v>15</v>
      </c>
      <c r="E52" s="6">
        <v>479</v>
      </c>
      <c r="H52" s="5" t="s">
        <v>29</v>
      </c>
      <c r="I52" s="6">
        <v>11</v>
      </c>
    </row>
    <row r="53" spans="1:9" x14ac:dyDescent="0.25">
      <c r="A53" s="5" t="s">
        <v>13</v>
      </c>
      <c r="B53" s="6">
        <v>60</v>
      </c>
      <c r="H53" s="5" t="s">
        <v>32</v>
      </c>
      <c r="I53" s="6">
        <v>12</v>
      </c>
    </row>
    <row r="54" spans="1:9" x14ac:dyDescent="0.25">
      <c r="A54" s="5" t="s">
        <v>9</v>
      </c>
      <c r="B54" s="6">
        <v>42</v>
      </c>
      <c r="H54" s="5" t="s">
        <v>30</v>
      </c>
      <c r="I54" s="6">
        <v>18</v>
      </c>
    </row>
    <row r="55" spans="1:9" x14ac:dyDescent="0.25">
      <c r="A55" s="5" t="s">
        <v>10</v>
      </c>
      <c r="B55" s="6">
        <v>53</v>
      </c>
      <c r="D55" s="4" t="s">
        <v>16</v>
      </c>
      <c r="E55" t="s">
        <v>34</v>
      </c>
      <c r="H55" s="5" t="s">
        <v>28</v>
      </c>
      <c r="I55" s="6">
        <v>45</v>
      </c>
    </row>
    <row r="56" spans="1:9" x14ac:dyDescent="0.25">
      <c r="A56" s="5" t="s">
        <v>4</v>
      </c>
      <c r="B56" s="6">
        <v>71</v>
      </c>
      <c r="D56" s="5" t="s">
        <v>26</v>
      </c>
      <c r="E56" s="6">
        <v>235</v>
      </c>
      <c r="H56" s="5" t="s">
        <v>27</v>
      </c>
      <c r="I56" s="6">
        <v>115</v>
      </c>
    </row>
    <row r="57" spans="1:9" x14ac:dyDescent="0.25">
      <c r="A57" s="5" t="s">
        <v>6</v>
      </c>
      <c r="B57" s="6">
        <v>52</v>
      </c>
      <c r="D57" s="5" t="s">
        <v>24</v>
      </c>
      <c r="E57" s="6">
        <v>244</v>
      </c>
      <c r="H57" s="5" t="s">
        <v>25</v>
      </c>
      <c r="I57" s="6">
        <v>263</v>
      </c>
    </row>
    <row r="58" spans="1:9" x14ac:dyDescent="0.25">
      <c r="A58" s="5" t="s">
        <v>15</v>
      </c>
      <c r="B58" s="6">
        <v>479</v>
      </c>
      <c r="D58" s="5" t="s">
        <v>15</v>
      </c>
      <c r="E58" s="6">
        <v>479</v>
      </c>
      <c r="H58" s="5" t="s">
        <v>15</v>
      </c>
      <c r="I58" s="6">
        <v>479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52BA-314D-41E4-8B14-BEF40E7DA5EA}">
  <dimension ref="A1:Q22"/>
  <sheetViews>
    <sheetView tabSelected="1" zoomScale="170" zoomScaleNormal="170" workbookViewId="0"/>
  </sheetViews>
  <sheetFormatPr defaultRowHeight="15" x14ac:dyDescent="0.25"/>
  <sheetData>
    <row r="1" spans="1:17" x14ac:dyDescent="0.25">
      <c r="A1" s="3"/>
      <c r="B1" s="3"/>
      <c r="C1" s="3"/>
      <c r="D1" s="3"/>
      <c r="E1" s="3"/>
      <c r="F1" s="3"/>
      <c r="G1" s="3"/>
      <c r="H1" s="3"/>
      <c r="I1" s="3"/>
      <c r="J1" s="3"/>
      <c r="K1" s="3"/>
      <c r="L1" s="3"/>
      <c r="M1" s="3"/>
      <c r="N1" s="3"/>
      <c r="O1" s="3"/>
      <c r="P1" s="3"/>
      <c r="Q1" s="3"/>
    </row>
    <row r="2" spans="1:17" x14ac:dyDescent="0.25">
      <c r="A2" s="3"/>
      <c r="B2" s="3"/>
      <c r="C2" s="3"/>
      <c r="D2" s="3"/>
      <c r="E2" s="3"/>
      <c r="F2" s="3"/>
      <c r="G2" s="3"/>
      <c r="H2" s="3"/>
      <c r="I2" s="3"/>
      <c r="J2" s="3"/>
      <c r="K2" s="3"/>
      <c r="L2" s="3"/>
      <c r="M2" s="3"/>
      <c r="N2" s="3"/>
      <c r="O2" s="3"/>
      <c r="P2" s="3"/>
      <c r="Q2" s="3"/>
    </row>
    <row r="3" spans="1:17" x14ac:dyDescent="0.25">
      <c r="A3" s="3"/>
      <c r="B3" s="3"/>
      <c r="C3" s="3"/>
      <c r="D3" s="3"/>
      <c r="E3" s="3"/>
      <c r="F3" s="3"/>
      <c r="G3" s="3"/>
      <c r="H3" s="3"/>
      <c r="I3" s="3"/>
      <c r="J3" s="3"/>
      <c r="K3" s="3"/>
      <c r="L3" s="3"/>
      <c r="M3" s="3"/>
      <c r="N3" s="3"/>
      <c r="O3" s="3"/>
      <c r="P3" s="3"/>
      <c r="Q3" s="3"/>
    </row>
    <row r="4" spans="1:17" x14ac:dyDescent="0.25">
      <c r="A4" s="3"/>
      <c r="B4" s="3"/>
      <c r="C4" s="3"/>
      <c r="D4" s="3"/>
      <c r="E4" s="3"/>
      <c r="F4" s="3"/>
      <c r="G4" s="3"/>
      <c r="H4" s="3"/>
      <c r="I4" s="3"/>
      <c r="J4" s="3"/>
      <c r="K4" s="3"/>
      <c r="L4" s="3"/>
      <c r="M4" s="3"/>
      <c r="N4" s="3"/>
      <c r="O4" s="3"/>
      <c r="P4" s="3"/>
      <c r="Q4" s="3"/>
    </row>
    <row r="5" spans="1:17" x14ac:dyDescent="0.25">
      <c r="A5" s="3"/>
      <c r="B5" s="3"/>
      <c r="C5" s="3"/>
      <c r="D5" s="3"/>
      <c r="E5" s="3"/>
      <c r="F5" s="3"/>
      <c r="G5" s="3"/>
      <c r="H5" s="3"/>
      <c r="I5" s="3"/>
      <c r="J5" s="3"/>
      <c r="K5" s="3"/>
      <c r="L5" s="3"/>
      <c r="M5" s="3"/>
      <c r="N5" s="3"/>
      <c r="O5" s="3"/>
      <c r="P5" s="3"/>
      <c r="Q5" s="3"/>
    </row>
    <row r="6" spans="1:17" x14ac:dyDescent="0.25">
      <c r="A6" s="3"/>
      <c r="B6" s="3"/>
      <c r="C6" s="3"/>
      <c r="D6" s="3"/>
      <c r="E6" s="3"/>
      <c r="F6" s="3"/>
      <c r="G6" s="3"/>
      <c r="H6" s="3"/>
      <c r="I6" s="3"/>
      <c r="J6" s="3"/>
      <c r="K6" s="3"/>
      <c r="L6" s="3"/>
      <c r="M6" s="3"/>
      <c r="N6" s="3"/>
      <c r="O6" s="3"/>
      <c r="P6" s="3"/>
      <c r="Q6" s="3"/>
    </row>
    <row r="7" spans="1:17" x14ac:dyDescent="0.25">
      <c r="A7" s="3"/>
      <c r="B7" s="3"/>
      <c r="C7" s="3"/>
      <c r="D7" s="3"/>
      <c r="E7" s="3"/>
      <c r="F7" s="3"/>
      <c r="G7" s="3"/>
      <c r="H7" s="3"/>
      <c r="I7" s="3"/>
      <c r="J7" s="3"/>
      <c r="K7" s="3"/>
      <c r="L7" s="3"/>
      <c r="M7" s="3"/>
      <c r="N7" s="3"/>
      <c r="O7" s="3"/>
      <c r="P7" s="3"/>
      <c r="Q7" s="3"/>
    </row>
    <row r="8" spans="1:17" x14ac:dyDescent="0.25">
      <c r="A8" s="3"/>
      <c r="B8" s="3"/>
      <c r="C8" s="3"/>
      <c r="D8" s="3"/>
      <c r="E8" s="3"/>
      <c r="F8" s="3"/>
      <c r="G8" s="3"/>
      <c r="H8" s="3"/>
      <c r="I8" s="3"/>
      <c r="J8" s="3"/>
      <c r="K8" s="3"/>
      <c r="L8" s="3"/>
      <c r="M8" s="3"/>
      <c r="N8" s="3"/>
      <c r="O8" s="3"/>
      <c r="P8" s="3"/>
      <c r="Q8" s="3"/>
    </row>
    <row r="9" spans="1:17" x14ac:dyDescent="0.25">
      <c r="A9" s="3"/>
      <c r="B9" s="3"/>
      <c r="C9" s="3"/>
      <c r="D9" s="3"/>
      <c r="E9" s="3"/>
      <c r="F9" s="3"/>
      <c r="G9" s="3"/>
      <c r="H9" s="3"/>
      <c r="I9" s="3"/>
      <c r="J9" s="3"/>
      <c r="K9" s="3"/>
      <c r="L9" s="3"/>
      <c r="M9" s="3"/>
      <c r="N9" s="3"/>
      <c r="O9" s="3"/>
      <c r="P9" s="3"/>
      <c r="Q9" s="3"/>
    </row>
    <row r="10" spans="1:17" x14ac:dyDescent="0.25">
      <c r="A10" s="3"/>
      <c r="B10" s="3"/>
      <c r="C10" s="3"/>
      <c r="D10" s="3"/>
      <c r="E10" s="3"/>
      <c r="F10" s="3"/>
      <c r="G10" s="3"/>
      <c r="H10" s="3"/>
      <c r="I10" s="3"/>
      <c r="J10" s="3"/>
      <c r="K10" s="3"/>
      <c r="L10" s="3"/>
      <c r="M10" s="3"/>
      <c r="N10" s="3"/>
      <c r="O10" s="3"/>
      <c r="P10" s="3"/>
      <c r="Q10" s="3"/>
    </row>
    <row r="11" spans="1:17" x14ac:dyDescent="0.25">
      <c r="A11" s="3"/>
      <c r="B11" s="3"/>
      <c r="C11" s="3"/>
      <c r="D11" s="3"/>
      <c r="E11" s="3"/>
      <c r="F11" s="3"/>
      <c r="G11" s="3"/>
      <c r="H11" s="3"/>
      <c r="I11" s="3"/>
      <c r="J11" s="3"/>
      <c r="K11" s="3"/>
      <c r="L11" s="3"/>
      <c r="M11" s="3"/>
      <c r="N11" s="3"/>
      <c r="O11" s="3"/>
      <c r="P11" s="3"/>
      <c r="Q11" s="3"/>
    </row>
    <row r="12" spans="1:17" x14ac:dyDescent="0.25">
      <c r="A12" s="3"/>
      <c r="B12" s="3"/>
      <c r="C12" s="3"/>
      <c r="D12" s="3"/>
      <c r="E12" s="3"/>
      <c r="F12" s="3"/>
      <c r="G12" s="3"/>
      <c r="H12" s="3"/>
      <c r="I12" s="3"/>
      <c r="J12" s="3"/>
      <c r="K12" s="3"/>
      <c r="L12" s="3"/>
      <c r="M12" s="3"/>
      <c r="N12" s="3"/>
      <c r="O12" s="3"/>
      <c r="P12" s="3"/>
      <c r="Q12" s="3"/>
    </row>
    <row r="13" spans="1:17" x14ac:dyDescent="0.25">
      <c r="A13" s="3"/>
      <c r="B13" s="3"/>
      <c r="C13" s="3"/>
      <c r="D13" s="3"/>
      <c r="E13" s="3"/>
      <c r="F13" s="3"/>
      <c r="G13" s="3"/>
      <c r="H13" s="3"/>
      <c r="I13" s="3"/>
      <c r="J13" s="3"/>
      <c r="K13" s="3"/>
      <c r="L13" s="3"/>
      <c r="M13" s="3"/>
      <c r="N13" s="3"/>
      <c r="O13" s="3"/>
      <c r="P13" s="3"/>
      <c r="Q13" s="3"/>
    </row>
    <row r="14" spans="1:17" x14ac:dyDescent="0.25">
      <c r="A14" s="3"/>
      <c r="B14" s="3"/>
      <c r="C14" s="3"/>
      <c r="D14" s="3"/>
      <c r="E14" s="3"/>
      <c r="F14" s="3"/>
      <c r="G14" s="3"/>
      <c r="H14" s="3"/>
      <c r="I14" s="3"/>
      <c r="J14" s="3"/>
      <c r="K14" s="3"/>
      <c r="L14" s="3"/>
      <c r="M14" s="3"/>
      <c r="N14" s="3"/>
      <c r="O14" s="3"/>
      <c r="P14" s="3"/>
      <c r="Q14" s="3"/>
    </row>
    <row r="15" spans="1:17" x14ac:dyDescent="0.25">
      <c r="A15" s="3"/>
      <c r="B15" s="3"/>
      <c r="C15" s="3"/>
      <c r="D15" s="3"/>
      <c r="E15" s="3"/>
      <c r="F15" s="3"/>
      <c r="G15" s="3"/>
      <c r="H15" s="3"/>
      <c r="I15" s="3"/>
      <c r="J15" s="3"/>
      <c r="K15" s="3"/>
      <c r="L15" s="3"/>
      <c r="M15" s="3"/>
      <c r="N15" s="3"/>
      <c r="O15" s="3"/>
      <c r="P15" s="3"/>
      <c r="Q15" s="3"/>
    </row>
    <row r="16" spans="1:17" x14ac:dyDescent="0.25">
      <c r="A16" s="3"/>
      <c r="B16" s="3"/>
      <c r="C16" s="3"/>
      <c r="D16" s="3"/>
      <c r="E16" s="3"/>
      <c r="F16" s="3"/>
      <c r="G16" s="3"/>
      <c r="H16" s="3"/>
      <c r="I16" s="3"/>
      <c r="J16" s="3"/>
      <c r="K16" s="3"/>
      <c r="L16" s="3"/>
      <c r="M16" s="3"/>
      <c r="N16" s="3"/>
      <c r="O16" s="3"/>
      <c r="P16" s="3"/>
      <c r="Q16" s="3"/>
    </row>
    <row r="17" spans="1:17" x14ac:dyDescent="0.25">
      <c r="A17" s="3"/>
      <c r="B17" s="3"/>
      <c r="C17" s="3"/>
      <c r="D17" s="3"/>
      <c r="E17" s="3"/>
      <c r="F17" s="3"/>
      <c r="G17" s="3"/>
      <c r="H17" s="3"/>
      <c r="I17" s="3"/>
      <c r="J17" s="3"/>
      <c r="K17" s="3"/>
      <c r="L17" s="3"/>
      <c r="M17" s="3"/>
      <c r="N17" s="3"/>
      <c r="O17" s="3"/>
      <c r="P17" s="3"/>
      <c r="Q17" s="3"/>
    </row>
    <row r="18" spans="1:17" x14ac:dyDescent="0.25">
      <c r="A18" s="3"/>
      <c r="B18" s="3"/>
      <c r="C18" s="3"/>
      <c r="D18" s="3"/>
      <c r="E18" s="3"/>
      <c r="F18" s="3"/>
      <c r="G18" s="3"/>
      <c r="H18" s="3"/>
      <c r="I18" s="3"/>
      <c r="J18" s="3"/>
      <c r="K18" s="3"/>
      <c r="L18" s="3"/>
      <c r="M18" s="3"/>
      <c r="N18" s="3"/>
      <c r="O18" s="3"/>
      <c r="P18" s="3"/>
      <c r="Q18" s="3"/>
    </row>
    <row r="19" spans="1:17" x14ac:dyDescent="0.25">
      <c r="A19" s="3"/>
      <c r="B19" s="3"/>
      <c r="C19" s="3"/>
      <c r="D19" s="3"/>
      <c r="E19" s="3"/>
      <c r="F19" s="3"/>
      <c r="G19" s="3"/>
      <c r="H19" s="3"/>
      <c r="I19" s="3"/>
      <c r="J19" s="3"/>
      <c r="K19" s="3"/>
      <c r="L19" s="3"/>
      <c r="M19" s="3"/>
      <c r="N19" s="3"/>
      <c r="O19" s="3"/>
      <c r="P19" s="3"/>
      <c r="Q19" s="3"/>
    </row>
    <row r="20" spans="1:17" x14ac:dyDescent="0.25">
      <c r="A20" s="3"/>
      <c r="B20" s="3"/>
      <c r="C20" s="3"/>
      <c r="D20" s="3"/>
      <c r="E20" s="3"/>
      <c r="F20" s="3"/>
      <c r="G20" s="3"/>
      <c r="H20" s="3"/>
      <c r="I20" s="3"/>
      <c r="J20" s="3"/>
      <c r="K20" s="3"/>
      <c r="L20" s="3"/>
      <c r="M20" s="3"/>
      <c r="N20" s="3"/>
      <c r="O20" s="3"/>
      <c r="P20" s="3"/>
      <c r="Q20" s="3"/>
    </row>
    <row r="21" spans="1:17" x14ac:dyDescent="0.25">
      <c r="A21" s="3"/>
      <c r="B21" s="3"/>
      <c r="C21" s="3"/>
      <c r="D21" s="3"/>
      <c r="E21" s="3"/>
      <c r="F21" s="3"/>
      <c r="G21" s="3"/>
      <c r="H21" s="3"/>
      <c r="I21" s="3"/>
      <c r="J21" s="3"/>
      <c r="K21" s="3"/>
      <c r="L21" s="3"/>
      <c r="M21" s="3"/>
      <c r="N21" s="3"/>
      <c r="O21" s="3"/>
      <c r="P21" s="3"/>
      <c r="Q21" s="3"/>
    </row>
    <row r="22" spans="1:17" x14ac:dyDescent="0.25">
      <c r="D22" s="1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4C6A-F018-47E4-B7B4-69635006FFC4}">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7C7A8-1B2D-4ABE-8FDD-9D7A7F3C6397}">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AD10-CF87-46D3-A335-D01FC205F299}">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69A9AD9-43CD-4259-82D4-2B3719E2499C}">
  <ds:schemaRefs/>
</ds:datastoreItem>
</file>

<file path=customXml/itemProps2.xml><?xml version="1.0" encoding="utf-8"?>
<ds:datastoreItem xmlns:ds="http://schemas.openxmlformats.org/officeDocument/2006/customXml" ds:itemID="{7DC1FEF6-20AB-4A9E-8EAA-6F3E84AF694B}">
  <ds:schemaRefs/>
</ds:datastoreItem>
</file>

<file path=customXml/itemProps3.xml><?xml version="1.0" encoding="utf-8"?>
<ds:datastoreItem xmlns:ds="http://schemas.openxmlformats.org/officeDocument/2006/customXml" ds:itemID="{A086006B-B21E-4E5F-8615-93BBB791510B}">
  <ds:schemaRefs/>
</ds:datastoreItem>
</file>

<file path=customXml/itemProps4.xml><?xml version="1.0" encoding="utf-8"?>
<ds:datastoreItem xmlns:ds="http://schemas.openxmlformats.org/officeDocument/2006/customXml" ds:itemID="{1BEFEC3E-23FA-4A71-9EB2-CF2D42AA9B60}">
  <ds:schemaRefs/>
</ds:datastoreItem>
</file>

<file path=customXml/itemProps5.xml><?xml version="1.0" encoding="utf-8"?>
<ds:datastoreItem xmlns:ds="http://schemas.openxmlformats.org/officeDocument/2006/customXml" ds:itemID="{A0132FA6-B6D6-4C14-BED7-DE958A7ED133}">
  <ds:schemaRefs/>
</ds:datastoreItem>
</file>

<file path=customXml/itemProps6.xml><?xml version="1.0" encoding="utf-8"?>
<ds:datastoreItem xmlns:ds="http://schemas.openxmlformats.org/officeDocument/2006/customXml" ds:itemID="{43B7AEAF-4294-49C0-AB37-14BB93DE3310}">
  <ds:schemaRefs/>
</ds:datastoreItem>
</file>

<file path=customXml/itemProps7.xml><?xml version="1.0" encoding="utf-8"?>
<ds:datastoreItem xmlns:ds="http://schemas.openxmlformats.org/officeDocument/2006/customXml" ds:itemID="{F234D21E-26E6-4681-A3A9-D6CE3AC79A49}">
  <ds:schemaRefs/>
</ds:datastoreItem>
</file>

<file path=customXml/itemProps8.xml><?xml version="1.0" encoding="utf-8"?>
<ds:datastoreItem xmlns:ds="http://schemas.openxmlformats.org/officeDocument/2006/customXml" ds:itemID="{CA3BA7B2-CC4B-4AB3-98D3-63697216F325}">
  <ds:schemaRefs/>
</ds:datastoreItem>
</file>

<file path=customXml/itemProps9.xml><?xml version="1.0" encoding="utf-8"?>
<ds:datastoreItem xmlns:ds="http://schemas.openxmlformats.org/officeDocument/2006/customXml" ds:itemID="{5F787657-3B6E-4230-9452-9847469EE386}">
  <ds:schemaRefs/>
</ds:datastoreItem>
</file>

<file path=customXml/itemProps10.xml><?xml version="1.0" encoding="utf-8"?>
<ds:datastoreItem xmlns:ds="http://schemas.openxmlformats.org/officeDocument/2006/customXml" ds:itemID="{B2E53FAD-3887-47B9-B700-EEBCECDBF88C}">
  <ds:schemaRefs/>
</ds:datastoreItem>
</file>

<file path=customXml/itemProps11.xml><?xml version="1.0" encoding="utf-8"?>
<ds:datastoreItem xmlns:ds="http://schemas.openxmlformats.org/officeDocument/2006/customXml" ds:itemID="{97E969DA-127F-40A1-AC93-5C01F200CFED}">
  <ds:schemaRefs/>
</ds:datastoreItem>
</file>

<file path=customXml/itemProps12.xml><?xml version="1.0" encoding="utf-8"?>
<ds:datastoreItem xmlns:ds="http://schemas.openxmlformats.org/officeDocument/2006/customXml" ds:itemID="{88A38690-392C-49F8-A5D4-E01474B20580}">
  <ds:schemaRefs/>
</ds:datastoreItem>
</file>

<file path=customXml/itemProps13.xml><?xml version="1.0" encoding="utf-8"?>
<ds:datastoreItem xmlns:ds="http://schemas.openxmlformats.org/officeDocument/2006/customXml" ds:itemID="{C06F8089-E8A0-4439-A4F8-96FCFA2EE0DE}">
  <ds:schemaRefs/>
</ds:datastoreItem>
</file>

<file path=customXml/itemProps14.xml><?xml version="1.0" encoding="utf-8"?>
<ds:datastoreItem xmlns:ds="http://schemas.openxmlformats.org/officeDocument/2006/customXml" ds:itemID="{C3AD43D4-6471-4F72-9AA2-5C5F6651C9C8}">
  <ds:schemaRefs/>
</ds:datastoreItem>
</file>

<file path=customXml/itemProps15.xml><?xml version="1.0" encoding="utf-8"?>
<ds:datastoreItem xmlns:ds="http://schemas.openxmlformats.org/officeDocument/2006/customXml" ds:itemID="{806DC11F-82FD-4BEE-8796-04194CA1DB1E}">
  <ds:schemaRefs/>
</ds:datastoreItem>
</file>

<file path=customXml/itemProps16.xml><?xml version="1.0" encoding="utf-8"?>
<ds:datastoreItem xmlns:ds="http://schemas.openxmlformats.org/officeDocument/2006/customXml" ds:itemID="{CC9941C6-B8DE-4911-A818-B6631BE5E096}">
  <ds:schemaRefs/>
</ds:datastoreItem>
</file>

<file path=customXml/itemProps17.xml><?xml version="1.0" encoding="utf-8"?>
<ds:datastoreItem xmlns:ds="http://schemas.openxmlformats.org/officeDocument/2006/customXml" ds:itemID="{D08339F9-96E1-4990-9E93-71C589AFC9FD}">
  <ds:schemaRefs/>
</ds:datastoreItem>
</file>

<file path=customXml/itemProps18.xml><?xml version="1.0" encoding="utf-8"?>
<ds:datastoreItem xmlns:ds="http://schemas.openxmlformats.org/officeDocument/2006/customXml" ds:itemID="{426081B2-B6DD-4427-95A7-BA12ECF0E6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Daily Trend</vt:lpstr>
      <vt:lpstr>Average Wait Time Daily Trend</vt:lpstr>
      <vt:lpstr>Daily ER Room Patient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Harshad Solanki</dc:creator>
  <cp:lastModifiedBy>Harshad Solanki</cp:lastModifiedBy>
  <dcterms:created xsi:type="dcterms:W3CDTF">2026-01-18T07:17:22Z</dcterms:created>
  <dcterms:modified xsi:type="dcterms:W3CDTF">2026-03-05T05:46:51Z</dcterms:modified>
</cp:coreProperties>
</file>